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d23cd1777caf2b9/DATA ANALYTIC/DA projects/ecommerce-sales-excel-dashboard/"/>
    </mc:Choice>
  </mc:AlternateContent>
  <xr:revisionPtr revIDLastSave="2384" documentId="11_74BB6314177A74EEE8596C375C5DCE3AA747EADD" xr6:coauthVersionLast="47" xr6:coauthVersionMax="47" xr10:uidLastSave="{D5EB1EE4-98DA-45A2-B743-5AA33E0AEB55}"/>
  <bookViews>
    <workbookView xWindow="-108" yWindow="-108" windowWidth="23256" windowHeight="13896" activeTab="6" xr2:uid="{00000000-000D-0000-FFFF-FFFF00000000}"/>
  </bookViews>
  <sheets>
    <sheet name="Sheet1" sheetId="3" r:id="rId1"/>
    <sheet name="Analysis sheet" sheetId="19" r:id="rId2"/>
    <sheet name="Table2 " sheetId="8" r:id="rId3"/>
    <sheet name="Orders" sheetId="1" r:id="rId4"/>
    <sheet name="Analysis" sheetId="2" r:id="rId5"/>
    <sheet name="Detail1" sheetId="18" r:id="rId6"/>
    <sheet name="new dashboard" sheetId="16" r:id="rId7"/>
  </sheets>
  <definedNames>
    <definedName name="_xlnm._FilterDatabase" localSheetId="3" hidden="1">Orders!$A$1:$L$41</definedName>
    <definedName name="ExternalData_1" localSheetId="2" hidden="1">'Table2 '!$A$1:$T$34</definedName>
    <definedName name="final">Table2__3[]</definedName>
    <definedName name="Slicer_Category2">#N/A</definedName>
    <definedName name="Slicer_Order_Status">#N/A</definedName>
    <definedName name="Slicer_Payment_Method">#N/A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6" l="1"/>
  <c r="G6" i="16"/>
  <c r="M35" i="1"/>
  <c r="S12" i="2"/>
  <c r="Q11" i="2"/>
  <c r="P9" i="2"/>
  <c r="Q6" i="2"/>
  <c r="T3" i="2"/>
  <c r="T2" i="2"/>
  <c r="S3" i="2"/>
  <c r="Q3" i="2"/>
  <c r="S2" i="2"/>
  <c r="Q2" i="2"/>
  <c r="R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I13" i="2"/>
  <c r="I12" i="2"/>
  <c r="I11" i="2"/>
  <c r="B6" i="2"/>
  <c r="B5" i="2"/>
  <c r="B4" i="2"/>
  <c r="B3" i="2"/>
  <c r="B2" i="2"/>
  <c r="B1" i="2"/>
  <c r="H11" i="2"/>
  <c r="H12" i="2"/>
  <c r="H13" i="2"/>
  <c r="G13" i="2"/>
  <c r="G12" i="2"/>
  <c r="G11" i="2"/>
  <c r="E11" i="2"/>
  <c r="C11" i="2"/>
  <c r="C12" i="2"/>
  <c r="C13" i="2"/>
  <c r="M2" i="1"/>
  <c r="M3" i="1"/>
  <c r="M4" i="1"/>
  <c r="O4" i="1" s="1"/>
  <c r="M5" i="1"/>
  <c r="M6" i="1"/>
  <c r="R2" i="2" s="1"/>
  <c r="M7" i="1"/>
  <c r="M8" i="1"/>
  <c r="O8" i="1" s="1"/>
  <c r="M9" i="1"/>
  <c r="M10" i="1"/>
  <c r="M11" i="1"/>
  <c r="M12" i="1"/>
  <c r="M13" i="1"/>
  <c r="R3" i="2" s="1"/>
  <c r="M14" i="1"/>
  <c r="M15" i="1"/>
  <c r="M16" i="1"/>
  <c r="R6" i="2" s="1"/>
  <c r="M17" i="1"/>
  <c r="M18" i="1"/>
  <c r="M19" i="1"/>
  <c r="M20" i="1"/>
  <c r="M21" i="1"/>
  <c r="M22" i="1"/>
  <c r="M23" i="1"/>
  <c r="M24" i="1"/>
  <c r="M25" i="1"/>
  <c r="M26" i="1"/>
  <c r="M27" i="1"/>
  <c r="M28" i="1"/>
  <c r="M29" i="1"/>
  <c r="M30" i="1"/>
  <c r="M31" i="1"/>
  <c r="M32" i="1"/>
  <c r="M33" i="1"/>
  <c r="M34" i="1"/>
  <c r="M36" i="1"/>
  <c r="M37" i="1"/>
  <c r="M38" i="1"/>
  <c r="M39" i="1"/>
  <c r="M40" i="1"/>
  <c r="M41" i="1"/>
  <c r="B7" i="2"/>
  <c r="J6" i="16" l="1"/>
  <c r="I6" i="16"/>
  <c r="F6" i="16"/>
  <c r="S13" i="2"/>
  <c r="S8" i="2"/>
  <c r="N3" i="2"/>
  <c r="N2" i="2"/>
  <c r="N4" i="2"/>
  <c r="K11" i="2"/>
  <c r="O2" i="1"/>
  <c r="N3" i="1"/>
  <c r="O3" i="1"/>
  <c r="N5" i="1"/>
  <c r="O5" i="1"/>
  <c r="N6" i="1"/>
  <c r="O6" i="1"/>
  <c r="N7" i="1"/>
  <c r="O7" i="1"/>
  <c r="N9" i="1"/>
  <c r="O9" i="1"/>
  <c r="N10" i="1"/>
  <c r="O10" i="1"/>
  <c r="N11" i="1"/>
  <c r="O11" i="1"/>
  <c r="N12" i="1"/>
  <c r="O12" i="1"/>
  <c r="N13" i="1"/>
  <c r="O13" i="1"/>
  <c r="N14" i="1"/>
  <c r="O14" i="1"/>
  <c r="N15" i="1"/>
  <c r="O15" i="1"/>
  <c r="N16" i="1"/>
  <c r="O16" i="1"/>
  <c r="N17" i="1"/>
  <c r="O17" i="1"/>
  <c r="N18" i="1"/>
  <c r="O18" i="1"/>
  <c r="N19" i="1"/>
  <c r="O19" i="1"/>
  <c r="N20" i="1"/>
  <c r="O20" i="1"/>
  <c r="N21" i="1"/>
  <c r="O21" i="1"/>
  <c r="N22" i="1"/>
  <c r="O22" i="1"/>
  <c r="N23" i="1"/>
  <c r="O23" i="1"/>
  <c r="N24" i="1"/>
  <c r="O24" i="1"/>
  <c r="N25" i="1"/>
  <c r="O25" i="1"/>
  <c r="N26" i="1"/>
  <c r="O26" i="1"/>
  <c r="N27" i="1"/>
  <c r="O27" i="1"/>
  <c r="N28" i="1"/>
  <c r="O28" i="1"/>
  <c r="N29" i="1"/>
  <c r="O29" i="1"/>
  <c r="N30" i="1"/>
  <c r="O30" i="1"/>
  <c r="N31" i="1"/>
  <c r="O31" i="1"/>
  <c r="N32" i="1"/>
  <c r="O32" i="1"/>
  <c r="N33" i="1"/>
  <c r="O33" i="1"/>
  <c r="N34" i="1"/>
  <c r="O34" i="1"/>
  <c r="N35" i="1"/>
  <c r="O35" i="1"/>
  <c r="N36" i="1"/>
  <c r="O36" i="1"/>
  <c r="N37" i="1"/>
  <c r="O37" i="1"/>
  <c r="N38" i="1"/>
  <c r="O38" i="1"/>
  <c r="N39" i="1"/>
  <c r="O39" i="1"/>
  <c r="N40" i="1"/>
  <c r="O40" i="1"/>
  <c r="N41" i="1"/>
  <c r="O41" i="1"/>
  <c r="J11" i="2"/>
  <c r="B11" i="2"/>
  <c r="B8" i="2"/>
  <c r="N2" i="1"/>
  <c r="N4" i="1"/>
  <c r="B13" i="2"/>
  <c r="B12" i="2"/>
  <c r="N8" i="1"/>
  <c r="E13" i="2"/>
  <c r="E12" i="2"/>
  <c r="F11" i="2"/>
  <c r="D11" i="2"/>
  <c r="D13" i="2"/>
  <c r="F13" i="2"/>
  <c r="F12" i="2"/>
  <c r="D12" i="2"/>
  <c r="D3" i="2" l="1"/>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CE9331-0AD4-4794-97AC-1BBE62383AF7}" keepAlive="1" name="Query - Table2 (3)" description="Connection to the 'Table2 (3)' query in the workbook." type="5" refreshedVersion="8" background="1" saveData="1">
    <dbPr connection="Provider=Microsoft.Mashup.OleDb.1;Data Source=$Workbook$;Location=&quot;Table2 (3)&quot;;Extended Properties=&quot;&quot;" command="SELECT * FROM [Table2 (3)]"/>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<sst xmlns="http://schemas.openxmlformats.org/spreadsheetml/2006/main" count="1363" uniqueCount="162">
  <si>
    <t>Order_ID</t>
  </si>
  <si>
    <t>Order_Date</t>
  </si>
  <si>
    <t>Customer</t>
  </si>
  <si>
    <t>City</t>
  </si>
  <si>
    <t>Region</t>
  </si>
  <si>
    <t>Category</t>
  </si>
  <si>
    <t>Product</t>
  </si>
  <si>
    <t>Quantity</t>
  </si>
  <si>
    <t>Unit_Price</t>
  </si>
  <si>
    <t>Discount</t>
  </si>
  <si>
    <t>Payment_Method</t>
  </si>
  <si>
    <t>Order_Status</t>
  </si>
  <si>
    <t>ORD1001</t>
  </si>
  <si>
    <t>Ajay</t>
  </si>
  <si>
    <t>Chennai</t>
  </si>
  <si>
    <t>South</t>
  </si>
  <si>
    <t>Electronics</t>
  </si>
  <si>
    <t>Laptop</t>
  </si>
  <si>
    <t>UPI</t>
  </si>
  <si>
    <t>Delivered</t>
  </si>
  <si>
    <t>ORD1002</t>
  </si>
  <si>
    <t>Rahul</t>
  </si>
  <si>
    <t>Bangalore</t>
  </si>
  <si>
    <t>Smartphone</t>
  </si>
  <si>
    <t>Card</t>
  </si>
  <si>
    <t>ORD1003</t>
  </si>
  <si>
    <t>Priya</t>
  </si>
  <si>
    <t>Hyderabad</t>
  </si>
  <si>
    <t>Fashion</t>
  </si>
  <si>
    <t>Shoes</t>
  </si>
  <si>
    <t>ORD1004</t>
  </si>
  <si>
    <t>Arun</t>
  </si>
  <si>
    <t>Mumbai</t>
  </si>
  <si>
    <t>West</t>
  </si>
  <si>
    <t>Headphones</t>
  </si>
  <si>
    <t>Cash</t>
  </si>
  <si>
    <t>ORD1005</t>
  </si>
  <si>
    <t>Sneha</t>
  </si>
  <si>
    <t>Delhi</t>
  </si>
  <si>
    <t>North</t>
  </si>
  <si>
    <t>T-Shirt</t>
  </si>
  <si>
    <t>Cancelled</t>
  </si>
  <si>
    <t>ORD1006</t>
  </si>
  <si>
    <t>Kiran</t>
  </si>
  <si>
    <t>Pune</t>
  </si>
  <si>
    <t>Watch</t>
  </si>
  <si>
    <t>ORD1007</t>
  </si>
  <si>
    <t>Anjali</t>
  </si>
  <si>
    <t>Home</t>
  </si>
  <si>
    <t>Backpack</t>
  </si>
  <si>
    <t>ORD1008</t>
  </si>
  <si>
    <t>David</t>
  </si>
  <si>
    <t>Kolkata</t>
  </si>
  <si>
    <t>East</t>
  </si>
  <si>
    <t>Camera</t>
  </si>
  <si>
    <t>ORD1009</t>
  </si>
  <si>
    <t>Ravi</t>
  </si>
  <si>
    <t>Keyboard</t>
  </si>
  <si>
    <t>Pending</t>
  </si>
  <si>
    <t>ORD1010</t>
  </si>
  <si>
    <t>Neha</t>
  </si>
  <si>
    <t>Jeans</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</si>
  <si>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</si>
  <si>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</si>
  <si>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</si>
  <si>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</si>
  <si>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</si>
  <si>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</si>
  <si>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</si>
  <si>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</si>
  <si>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</si>
  <si>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</si>
  <si>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</si>
  <si>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</si>
  <si>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</si>
  <si>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</si>
  <si>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</si>
  <si>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</si>
  <si>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</si>
  <si>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</si>
  <si>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</si>
  <si>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</si>
  <si>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</si>
  <si>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</si>
  <si>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</si>
  <si>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</si>
  <si>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</si>
  <si>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</si>
  <si>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</si>
  <si>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</si>
  <si>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</si>
  <si>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</si>
  <si>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Totalv Quantity</t>
  </si>
  <si>
    <t>Total sales before discount</t>
  </si>
  <si>
    <t>Average unit price</t>
  </si>
  <si>
    <t>highest unit price</t>
  </si>
  <si>
    <t>lowest unit price</t>
  </si>
  <si>
    <t>number of orders</t>
  </si>
  <si>
    <t>Acutal revenue after discount</t>
  </si>
  <si>
    <t>Revenue</t>
  </si>
  <si>
    <t>Total revenue after discount</t>
  </si>
  <si>
    <t>category</t>
  </si>
  <si>
    <t>revenue</t>
  </si>
  <si>
    <t xml:space="preserve">home </t>
  </si>
  <si>
    <t>fashion</t>
  </si>
  <si>
    <t>south revenue</t>
  </si>
  <si>
    <t>north revenue</t>
  </si>
  <si>
    <t>average revenue</t>
  </si>
  <si>
    <t>south count</t>
  </si>
  <si>
    <t>city orders</t>
  </si>
  <si>
    <t>city orders2</t>
  </si>
  <si>
    <t>conditions</t>
  </si>
  <si>
    <t>high or low</t>
  </si>
  <si>
    <t>priority</t>
  </si>
  <si>
    <t>priority or normal</t>
  </si>
  <si>
    <t>P or N</t>
  </si>
  <si>
    <t>A or N</t>
  </si>
  <si>
    <t>Month</t>
  </si>
  <si>
    <t>Month_number</t>
  </si>
  <si>
    <t>year</t>
  </si>
  <si>
    <t>month</t>
  </si>
  <si>
    <t>january</t>
  </si>
  <si>
    <t>february</t>
  </si>
  <si>
    <t>march</t>
  </si>
  <si>
    <t>order_id</t>
  </si>
  <si>
    <t>customer</t>
  </si>
  <si>
    <t>ord1005</t>
  </si>
  <si>
    <t>product</t>
  </si>
  <si>
    <t>city</t>
  </si>
  <si>
    <t>ord1012</t>
  </si>
  <si>
    <t>ord1015</t>
  </si>
  <si>
    <t>Row Labels</t>
  </si>
  <si>
    <t>Grand Total</t>
  </si>
  <si>
    <t>Sum of Revenue</t>
  </si>
  <si>
    <t>low</t>
  </si>
  <si>
    <t>normal</t>
  </si>
  <si>
    <t>March</t>
  </si>
  <si>
    <t>January</t>
  </si>
  <si>
    <t>February</t>
  </si>
  <si>
    <t>Jan</t>
  </si>
  <si>
    <t>Feb</t>
  </si>
  <si>
    <t>Mar</t>
  </si>
  <si>
    <t>high</t>
  </si>
  <si>
    <t>gross_sales</t>
  </si>
  <si>
    <t>KPI</t>
  </si>
  <si>
    <t>VALUE</t>
  </si>
  <si>
    <t>Total Revenue</t>
  </si>
  <si>
    <t>Total Quantity</t>
  </si>
  <si>
    <t>Total Orders</t>
  </si>
  <si>
    <t>Average Order Value</t>
  </si>
  <si>
    <t>Average of Discount</t>
  </si>
  <si>
    <t>Weak Positive</t>
  </si>
  <si>
    <t>Order Status</t>
  </si>
  <si>
    <t>Discount vs Revenue</t>
  </si>
  <si>
    <t>Top 3 products</t>
  </si>
  <si>
    <t>Payment Method</t>
  </si>
  <si>
    <t>Top 5 Customers</t>
  </si>
  <si>
    <t>attention</t>
  </si>
  <si>
    <t>Details for Sum of Revenue</t>
  </si>
  <si>
    <t>Months</t>
  </si>
  <si>
    <t>E-Commerce Sales Performance Dashboard</t>
  </si>
  <si>
    <t>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</si>
</sst>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dd\-mm\-yyyy"/>
    <numFmt numFmtId="165" formatCode="d/m/yy\ h\.mm"/>
    <numFmt numFmtId="166" formatCode="&quot;₹&quot;\ #,##0.00"/>
    <numFmt numFmtId="167" formatCode="_ [$₹-4009]\ * #,##0.00_ ;_ [$₹-4009]\ * \-#,##0.00_ ;_ [$₹-4009]\ * &quot;-&quot;??_ ;_ @_ "/>
  </numFmts>
  <fonts count="11" x14ac:knownFonts="1">
    <font>
      <sz val="11"/>
      <color theme="1"/>
      <name val="Calibri"/>
      <family val="2"/>
      <scheme val="minor"/>
    </font>
    <font>
      <b/>
      <sz val="11"/>
      <name val="Calibri"/>
    </font>
    <font>
      <b/>
      <sz val="11"/>
      <name val="Calibri"/>
      <family val="2"/>
    </font>
    <font>
      <b/>
      <sz val="11"/>
      <color theme="1"/>
      <name val="Cambria"/>
      <family val="1"/>
      <scheme val="major"/>
    </font>
    <font>
      <b/>
      <sz val="12"/>
      <color theme="1"/>
      <name val="Cambria"/>
      <family val="1"/>
      <scheme val="major"/>
    </font>
    <font>
      <b/>
      <sz val="11"/>
      <color theme="1"/>
      <name val="Calibri"/>
      <family val="2"/>
      <scheme val="minor"/>
    </font>
    <font>
      <sz val="11"/>
      <color theme="1"/>
      <name val="Arial Black"/>
      <family val="2"/>
    </font>
    <font>
      <b/>
      <sz val="20"/>
      <color theme="1"/>
      <name val="Arial Black"/>
      <family val="2"/>
    </font>
    <font>
      <b/>
      <sz val="48"/>
      <color theme="2"/>
      <name val="Rockwell Extra Bold"/>
      <family val="1"/>
    </font>
    <font>
      <b/>
      <sz val="18"/>
      <color theme="1"/>
      <name val="Arial Black"/>
      <family val="2"/>
    </font>
    <font>
      <sz val="12"/>
      <color theme="1"/>
      <name val="Calibri"/>
      <scheme val="minor"/>
    </font>
  </fonts>
  <fills count="4">
    <fill>
      <patternFill patternType="none"/>
    </fill>
    <fill>
      <patternFill patternType="gray125"/>
    </fill>
    <fill>
      <patternFill patternType="solid">
        <fgColor theme="1"/>
        <bgColor indexed="64"/>
      </patternFill>
    </fill>
    <fill>
      <patternFill patternType="solid">
        <fgColor theme="4" tint="0.59999389629810485"/>
        <bgColor indexed="64"/>
      </patternFill>
    </fill>
  </fills>
  <borders count="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164" fontId="0" fillId="0" borderId="0" xfId="0" applyNumberFormat="1"/>
    <xf numFmtId="3" fontId="0" fillId="0" borderId="0" xfId="0" applyNumberFormat="1"/>
    <xf numFmtId="9" fontId="0" fillId="0" borderId="0" xfId="0" applyNumberFormat="1"/>
    <xf numFmtId="0" fontId="1" fillId="0" borderId="1" xfId="0" applyFont="1" applyBorder="1" applyAlignment="1">
      <alignment horizontal="center" vertical="top"/>
    </xf>
    <xf numFmtId="0" fontId="3" fillId="0" borderId="0" xfId="0" applyFont="1" applyAlignment="1">
      <alignment wrapText="1"/>
    </xf>
    <xf numFmtId="0" fontId="0" fillId="0" borderId="0" xfId="0" applyAlignment="1">
      <alignment wrapText="1"/>
    </xf>
    <xf numFmtId="0" fontId="2" fillId="0" borderId="1" xfId="0" applyFont="1" applyBorder="1" applyAlignment="1">
      <alignment horizontal="center" vertical="top"/>
    </xf>
    <xf numFmtId="0" fontId="4" fillId="0" borderId="0" xfId="0" applyFont="1" applyAlignment="1">
      <alignment wrapText="1"/>
    </xf>
    <xf numFmtId="0" fontId="0" fillId="0" borderId="0" xfId="0" pivotButton="1"/>
    <xf numFmtId="0" fontId="0" fillId="0" borderId="0" xfId="0" applyAlignment="1">
      <alignment horizontal="left"/>
    </xf>
    <xf numFmtId="165" fontId="0" fillId="0" borderId="0" xfId="0" applyNumberFormat="1"/>
    <xf numFmtId="9" fontId="0" fillId="0" borderId="0" xfId="0" applyNumberFormat="1" applyAlignment="1">
      <alignment horizontal="left"/>
    </xf>
    <xf numFmtId="167" fontId="0" fillId="0" borderId="0" xfId="0" applyNumberFormat="1"/>
    <xf numFmtId="44" fontId="0" fillId="0" borderId="0" xfId="0" applyNumberFormat="1"/>
    <xf numFmtId="14" fontId="0" fillId="0" borderId="0" xfId="0" applyNumberFormat="1"/>
    <xf numFmtId="0" fontId="5" fillId="0" borderId="0" xfId="0" applyFont="1"/>
    <xf numFmtId="164" fontId="0" fillId="0" borderId="0" xfId="0" applyNumberFormat="1" applyAlignment="1">
      <alignment horizontal="left" indent="1"/>
    </xf>
    <xf numFmtId="0" fontId="0" fillId="2" borderId="0" xfId="0" applyFill="1"/>
    <xf numFmtId="0" fontId="6" fillId="2" borderId="0" xfId="0" applyFont="1" applyFill="1"/>
    <xf numFmtId="0" fontId="8" fillId="2" borderId="0" xfId="0" applyFont="1" applyFill="1"/>
    <xf numFmtId="0" fontId="0" fillId="0" borderId="0" xfId="0" pivotButton="1" applyAlignment="1">
      <alignment wrapText="1"/>
    </xf>
    <xf numFmtId="0" fontId="10" fillId="0" borderId="0" xfId="0" pivotButton="1" applyFont="1"/>
    <xf numFmtId="0" fontId="10" fillId="0" borderId="0" xfId="0" applyFont="1"/>
    <xf numFmtId="0" fontId="10" fillId="0" borderId="0" xfId="0" applyFont="1" applyAlignment="1">
      <alignment horizontal="left"/>
    </xf>
    <xf numFmtId="167" fontId="10" fillId="0" borderId="0" xfId="0" applyNumberFormat="1" applyFont="1"/>
    <xf numFmtId="0" fontId="7" fillId="3" borderId="2" xfId="0" applyFont="1" applyFill="1" applyBorder="1" applyAlignment="1">
      <alignment horizontal="center"/>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6" fontId="7" fillId="3" borderId="2" xfId="0" applyNumberFormat="1" applyFont="1" applyFill="1" applyBorder="1" applyAlignment="1">
      <alignment horizontal="center" wrapText="1"/>
    </xf>
    <xf numFmtId="1" fontId="7" fillId="3" borderId="2" xfId="0" applyNumberFormat="1" applyFont="1" applyFill="1" applyBorder="1" applyAlignment="1">
      <alignment horizontal="center" wrapText="1"/>
    </xf>
    <xf numFmtId="0" fontId="7" fillId="3" borderId="2" xfId="0" applyFont="1" applyFill="1" applyBorder="1" applyAlignment="1">
      <alignment horizontal="center" wrapText="1"/>
    </xf>
    <xf numFmtId="0" fontId="9" fillId="3" borderId="2" xfId="0" applyFont="1" applyFill="1" applyBorder="1" applyAlignment="1">
      <alignment horizontal="center" wrapText="1"/>
    </xf>
    <xf numFmtId="0" fontId="0" fillId="0" borderId="0" xfId="0" applyAlignment="1">
      <alignment horizontal="center"/>
    </xf>
  </cellXfs>
  <cellStyles count="1">
    <cellStyle name="Normal" xfId="0" builtinId="0"/>
  </cellStyles>
  <dxfs count="75">
    <dxf>
      <font>
        <color rgb="FF9C5700"/>
      </font>
      <fill>
        <patternFill>
          <bgColor rgb="FFFFEB9C"/>
        </patternFill>
      </fill>
    </dxf>
    <dxf>
      <numFmt numFmtId="19" formatCode="d/m/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mbria"/>
        <family val="1"/>
        <scheme val="maj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m/yy\ h\.mm"/>
    </dxf>
    <dxf>
      <numFmt numFmtId="0" formatCode="General"/>
    </dxf>
    <dxf>
      <numFmt numFmtId="167" formatCode="_ [$₹-4009]\ * #,##0.00_ ;_ [$₹-4009]\ * \-#,##0.00_ ;_ [$₹-4009]\ * &quot;-&quot;??_ ;_ @_ "/>
    </dxf>
    <dxf>
      <numFmt numFmtId="167"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wrapText="1"/>
    </dxf>
    <dxf>
      <alignment wrapText="1"/>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numFmt numFmtId="167" formatCode="_ [$₹-4009]\ * #,##0.00_ ;_ [$₹-4009]\ * \-#,##0.00_ ;_ [$₹-4009]\ * &quot;-&quot;??_ ;_ @_ "/>
    </dxf>
    <dxf>
      <numFmt numFmtId="34" formatCode="_ &quot;₹&quot;\ * #,##0.00_ ;_ &quot;₹&quot;\ * \-#,##0.00_ ;_ &quot;₹&quot;\ * &quot;-&quot;??_ ;_ @_ "/>
    </dxf>
    <dxf>
      <numFmt numFmtId="167" formatCode="_ [$₹-4009]\ * #,##0.00_ ;_ [$₹-4009]\ * \-#,##0.00_ ;_ [$₹-4009]\ * &quot;-&quot;??_ ;_ @_ "/>
    </dxf>
    <dxf>
      <numFmt numFmtId="34" formatCode="_ &quot;₹&quot;\ * #,##0.00_ ;_ &quot;₹&quot;\ * \-#,##0.00_ ;_ &quot;₹&quot;\ * &quot;-&quot;??_ ;_ @_ "/>
    </dxf>
    <dxf>
      <numFmt numFmtId="0" formatCode="General"/>
    </dxf>
    <dxf>
      <numFmt numFmtId="13" formatCode="0%"/>
    </dxf>
    <dxf>
      <numFmt numFmtId="3" formatCode="#,##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microsoft.com/office/2007/relationships/slicerCache" Target="slicerCaches/slicerCache2.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[Ecommerce_Sales_Analytics_Data.xlsx]Analysis sheet!PivotTable8</c:name>
    <c:fmtId val="8"/>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r>
              <a:rPr lang="en-US">
                <a:solidFill>
                  <a:schemeClr val="tx2">
                    <a:lumMod val="50000"/>
                  </a:schemeClr>
                </a:solidFill>
                <a:latin typeface="Arial Black" panose="020B0A04020102020204" pitchFamily="34" charset="0"/>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09520259308918"/>
          <c:y val="0.16408681024259866"/>
          <c:w val="0.60340630929563588"/>
          <c:h val="0.64769858765566379"/>
        </c:manualLayout>
      </c:layout>
      <c:barChart>
        <c:barDir val="col"/>
        <c:grouping val="clustered"/>
        <c:varyColors val="0"/>
        <c:ser>
          <c:idx val="0"/>
          <c:order val="0"/>
          <c:tx>
            <c:strRef>
              <c:f>'Analysis sheet'!$F$2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sheet'!$E$3:$E$7</c:f>
              <c:strCache>
                <c:ptCount val="4"/>
                <c:pt idx="0">
                  <c:v>East</c:v>
                </c:pt>
                <c:pt idx="1">
                  <c:v>North</c:v>
                </c:pt>
                <c:pt idx="2">
                  <c:v>South</c:v>
                </c:pt>
                <c:pt idx="3">
                  <c:v>West</c:v>
                </c:pt>
              </c:strCache>
            </c:strRef>
          </c:cat>
          <c:val>
            <c:numRef>
              <c:f>'Analysis sheet'!$F$3:$F$7</c:f>
              <c:numCache>
                <c:formatCode>_("₹"* #,##0.00_);_("₹"* \(#,##0.00\);_("₹"* "-"??_);_(@_)</c:formatCode>
                <c:ptCount val="4"/>
                <c:pt idx="0">
                  <c:v>97050</c:v>
                </c:pt>
                <c:pt idx="1">
                  <c:v>33720</c:v>
                </c:pt>
                <c:pt idx="2">
                  <c:v>317880</c:v>
                </c:pt>
                <c:pt idx="3">
                  <c:v>310600</c:v>
                </c:pt>
              </c:numCache>
            </c:numRef>
          </c:val>
          <c:extLst>
            <c:ext xmlns:c16="http://schemas.microsoft.com/office/drawing/2014/chart" uri="{C3380CC4-5D6E-409C-BE32-E72D297353CC}">
              <c16:uniqueId val="{00000000-D971-4A4A-BCF4-AEAD4723804A}"/>
            </c:ext>
          </c:extLst>
        </c:ser>
        <c:dLbls>
          <c:dLblPos val="outEnd"/>
          <c:showLegendKey val="0"/>
          <c:showVal val="1"/>
          <c:showCatName val="0"/>
          <c:showSerName val="0"/>
          <c:showPercent val="0"/>
          <c:showBubbleSize val="0"/>
        </c:dLbls>
        <c:gapWidth val="219"/>
        <c:overlap val="-27"/>
        <c:axId val="1472052544"/>
        <c:axId val="1674097936"/>
      </c:barChart>
      <c:catAx>
        <c:axId val="147205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a:solidFill>
                      <a:schemeClr val="tx1"/>
                    </a:solidFill>
                    <a:latin typeface="Arial Black" panose="020B0A04020102020204" pitchFamily="34" charset="0"/>
                  </a:rPr>
                  <a:t>Regions</a:t>
                </a:r>
              </a:p>
            </c:rich>
          </c:tx>
          <c:layout>
            <c:manualLayout>
              <c:xMode val="edge"/>
              <c:yMode val="edge"/>
              <c:x val="0.51481730944602477"/>
              <c:y val="0.915367242977393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Black" panose="020B0A04020102020204" pitchFamily="34" charset="0"/>
                <a:ea typeface="+mn-ea"/>
                <a:cs typeface="+mn-cs"/>
              </a:defRPr>
            </a:pPr>
            <a:endParaRPr lang="en-US"/>
          </a:p>
        </c:txPr>
        <c:crossAx val="1674097936"/>
        <c:crosses val="autoZero"/>
        <c:auto val="1"/>
        <c:lblAlgn val="ctr"/>
        <c:lblOffset val="100"/>
        <c:noMultiLvlLbl val="0"/>
      </c:catAx>
      <c:valAx>
        <c:axId val="1674097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chemeClr val="tx1"/>
                    </a:solidFill>
                    <a:latin typeface="Arial Black" panose="020B0A04020102020204" pitchFamily="34" charset="0"/>
                  </a:rPr>
                  <a:t>Revenue (₹)</a:t>
                </a:r>
              </a:p>
            </c:rich>
          </c:tx>
          <c:layout>
            <c:manualLayout>
              <c:xMode val="edge"/>
              <c:yMode val="edge"/>
              <c:x val="3.2509607292903239E-2"/>
              <c:y val="0.387864780087984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Black" panose="020B0A04020102020204" pitchFamily="34" charset="0"/>
                <a:ea typeface="+mn-ea"/>
                <a:cs typeface="+mn-cs"/>
              </a:defRPr>
            </a:pPr>
            <a:endParaRPr lang="en-US"/>
          </a:p>
        </c:txPr>
        <c:crossAx val="14720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[Ecommerce_Sales_Analytics_Data.xlsx]Analysis sheet!PivotTable11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Arial Black" panose="020B0A04020102020204" pitchFamily="34" charset="0"/>
                <a:ea typeface="+mn-ea"/>
                <a:cs typeface="+mn-cs"/>
              </a:defRPr>
            </a:pPr>
            <a:r>
              <a:rPr lang="en-US">
                <a:solidFill>
                  <a:schemeClr val="tx1"/>
                </a:solidFill>
                <a:latin typeface="Arial Black" panose="020B0A04020102020204" pitchFamily="34" charset="0"/>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90154475481651"/>
          <c:y val="0.15199792096675047"/>
          <c:w val="0.64512638873015382"/>
          <c:h val="0.67365395091282554"/>
        </c:manualLayout>
      </c:layout>
      <c:barChart>
        <c:barDir val="col"/>
        <c:grouping val="clustered"/>
        <c:varyColors val="0"/>
        <c:ser>
          <c:idx val="0"/>
          <c:order val="0"/>
          <c:tx>
            <c:strRef>
              <c:f>'Analysis sheet'!$I$2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sheet'!$H$3:$H$6</c:f>
              <c:strCache>
                <c:ptCount val="3"/>
                <c:pt idx="0">
                  <c:v>UPI</c:v>
                </c:pt>
                <c:pt idx="1">
                  <c:v>Card</c:v>
                </c:pt>
                <c:pt idx="2">
                  <c:v>Cash</c:v>
                </c:pt>
              </c:strCache>
            </c:strRef>
          </c:cat>
          <c:val>
            <c:numRef>
              <c:f>'Analysis sheet'!$I$3:$I$6</c:f>
              <c:numCache>
                <c:formatCode>_("₹"* #,##0.00_);_("₹"* \(#,##0.00\);_("₹"* "-"??_);_(@_)</c:formatCode>
                <c:ptCount val="3"/>
                <c:pt idx="0">
                  <c:v>413595</c:v>
                </c:pt>
                <c:pt idx="1">
                  <c:v>308755</c:v>
                </c:pt>
                <c:pt idx="2">
                  <c:v>36900</c:v>
                </c:pt>
              </c:numCache>
            </c:numRef>
          </c:val>
          <c:extLst>
            <c:ext xmlns:c16="http://schemas.microsoft.com/office/drawing/2014/chart" uri="{C3380CC4-5D6E-409C-BE32-E72D297353CC}">
              <c16:uniqueId val="{00000000-0255-41CB-A2C9-2F90AB9A76FB}"/>
            </c:ext>
          </c:extLst>
        </c:ser>
        <c:dLbls>
          <c:dLblPos val="outEnd"/>
          <c:showLegendKey val="0"/>
          <c:showVal val="1"/>
          <c:showCatName val="0"/>
          <c:showSerName val="0"/>
          <c:showPercent val="0"/>
          <c:showBubbleSize val="0"/>
        </c:dLbls>
        <c:gapWidth val="219"/>
        <c:overlap val="-27"/>
        <c:axId val="1472044192"/>
        <c:axId val="906450288"/>
      </c:barChart>
      <c:catAx>
        <c:axId val="1472044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a:solidFill>
                      <a:schemeClr val="tx1"/>
                    </a:solidFill>
                    <a:latin typeface="Arial Black" panose="020B0A04020102020204" pitchFamily="34" charset="0"/>
                  </a:rPr>
                  <a:t>Payment_Methods</a:t>
                </a:r>
              </a:p>
            </c:rich>
          </c:tx>
          <c:layout>
            <c:manualLayout>
              <c:xMode val="edge"/>
              <c:yMode val="edge"/>
              <c:x val="0.4422399902755032"/>
              <c:y val="0.921602454858490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906450288"/>
        <c:crosses val="autoZero"/>
        <c:auto val="1"/>
        <c:lblAlgn val="ctr"/>
        <c:lblOffset val="100"/>
        <c:noMultiLvlLbl val="0"/>
      </c:catAx>
      <c:valAx>
        <c:axId val="90645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chemeClr val="tx1"/>
                    </a:solidFill>
                    <a:latin typeface="Arial Black" panose="020B0A04020102020204" pitchFamily="34" charset="0"/>
                  </a:rPr>
                  <a:t>Revenue (₹)</a:t>
                </a:r>
              </a:p>
            </c:rich>
          </c:tx>
          <c:layout>
            <c:manualLayout>
              <c:xMode val="edge"/>
              <c:yMode val="edge"/>
              <c:x val="1.4682536798830418E-2"/>
              <c:y val="0.398665020765344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147204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[Ecommerce_Sales_Analytics_Data.xlsx]Analysis sheet!PivotTable33</c:name>
    <c:fmtId val="3"/>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r>
              <a:rPr lang="en-IN" sz="1400" b="0" i="0" u="none" strike="noStrike" baseline="0">
                <a:solidFill>
                  <a:schemeClr val="tx2">
                    <a:lumMod val="50000"/>
                  </a:schemeClr>
                </a:solidFill>
                <a:latin typeface="Arial Black" panose="020B0A04020102020204" pitchFamily="34" charset="0"/>
              </a:rPr>
              <a:t>Revenue by Category</a:t>
            </a:r>
          </a:p>
        </c:rich>
      </c:tx>
      <c:layout>
        <c:manualLayout>
          <c:xMode val="edge"/>
          <c:yMode val="edge"/>
          <c:x val="0.3106281668000056"/>
          <c:y val="0.159117810808408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75755304084438"/>
          <c:y val="0.33790568959628708"/>
          <c:w val="0.61967248893296478"/>
          <c:h val="0.52425552420920651"/>
        </c:manualLayout>
      </c:layout>
      <c:barChart>
        <c:barDir val="col"/>
        <c:grouping val="clustered"/>
        <c:varyColors val="0"/>
        <c:ser>
          <c:idx val="0"/>
          <c:order val="0"/>
          <c:tx>
            <c:strRef>
              <c:f>'Analysis sheet'!$I$10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sheet'!$H$11:$H$14</c:f>
              <c:strCache>
                <c:ptCount val="3"/>
                <c:pt idx="0">
                  <c:v>Electronics</c:v>
                </c:pt>
                <c:pt idx="1">
                  <c:v>Fashion</c:v>
                </c:pt>
                <c:pt idx="2">
                  <c:v>Home</c:v>
                </c:pt>
              </c:strCache>
            </c:strRef>
          </c:cat>
          <c:val>
            <c:numRef>
              <c:f>'Analysis sheet'!$I$11:$I$14</c:f>
              <c:numCache>
                <c:formatCode>_ [$₹-4009]\ * #,##0.00_ ;_ [$₹-4009]\ * \-#,##0.00_ ;_ [$₹-4009]\ * "-"??_ ;_ @_ </c:formatCode>
                <c:ptCount val="3"/>
                <c:pt idx="0">
                  <c:v>650900</c:v>
                </c:pt>
                <c:pt idx="1">
                  <c:v>61700</c:v>
                </c:pt>
                <c:pt idx="2">
                  <c:v>46650</c:v>
                </c:pt>
              </c:numCache>
            </c:numRef>
          </c:val>
          <c:extLst>
            <c:ext xmlns:c16="http://schemas.microsoft.com/office/drawing/2014/chart" uri="{C3380CC4-5D6E-409C-BE32-E72D297353CC}">
              <c16:uniqueId val="{00000000-FD6C-461F-B017-F8FB49B8D728}"/>
            </c:ext>
          </c:extLst>
        </c:ser>
        <c:dLbls>
          <c:dLblPos val="outEnd"/>
          <c:showLegendKey val="0"/>
          <c:showVal val="1"/>
          <c:showCatName val="0"/>
          <c:showSerName val="0"/>
          <c:showPercent val="0"/>
          <c:showBubbleSize val="0"/>
        </c:dLbls>
        <c:gapWidth val="182"/>
        <c:axId val="1511085760"/>
        <c:axId val="492289232"/>
      </c:barChart>
      <c:catAx>
        <c:axId val="1511085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a:solidFill>
                      <a:schemeClr val="tx1"/>
                    </a:solidFill>
                    <a:latin typeface="Arial Black" panose="020B0A04020102020204" pitchFamily="34" charset="0"/>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492289232"/>
        <c:crosses val="autoZero"/>
        <c:auto val="1"/>
        <c:lblAlgn val="ctr"/>
        <c:lblOffset val="100"/>
        <c:noMultiLvlLbl val="0"/>
      </c:catAx>
      <c:valAx>
        <c:axId val="49228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chemeClr val="tx1"/>
                    </a:solidFill>
                    <a:latin typeface="Arial Black" panose="020B0A04020102020204" pitchFamily="34" charset="0"/>
                  </a:rPr>
                  <a:t>Revenue (₹)</a:t>
                </a:r>
              </a:p>
            </c:rich>
          </c:tx>
          <c:layout>
            <c:manualLayout>
              <c:xMode val="edge"/>
              <c:yMode val="edge"/>
              <c:x val="5.1867555704250397E-2"/>
              <c:y val="0.49129207340345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1511085760"/>
        <c:crosses val="autoZero"/>
        <c:crossBetween val="between"/>
      </c:valAx>
      <c:spPr>
        <a:noFill/>
        <a:ln>
          <a:noFill/>
        </a:ln>
        <a:effectLst/>
      </c:spPr>
    </c:plotArea>
    <c:legend>
      <c:legendPos val="r"/>
      <c:layout>
        <c:manualLayout>
          <c:xMode val="edge"/>
          <c:yMode val="edge"/>
          <c:x val="0.80691867672213802"/>
          <c:y val="6.6976855165831545E-2"/>
          <c:w val="6.6511846960107479E-2"/>
          <c:h val="4.50054829565903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[Ecommerce_Sales_Analytics_Data.xlsx]Analysis sheet!PivotTable9</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Arial Black" panose="020B0A04020102020204" pitchFamily="34" charset="0"/>
                <a:ea typeface="+mn-ea"/>
                <a:cs typeface="+mn-cs"/>
              </a:defRPr>
            </a:pPr>
            <a:r>
              <a:rPr lang="en-IN"/>
              <a:t>Top 3 Products by Revenue</a:t>
            </a:r>
            <a:endParaRPr lang="en-US"/>
          </a:p>
        </c:rich>
      </c:tx>
      <c:layout>
        <c:manualLayout>
          <c:xMode val="edge"/>
          <c:yMode val="edge"/>
          <c:x val="0.25562514427631"/>
          <c:y val="6.1156534213371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8371594568921"/>
          <c:y val="0.16847839574562376"/>
          <c:w val="0.65358999243705929"/>
          <c:h val="0.6382696654110348"/>
        </c:manualLayout>
      </c:layout>
      <c:barChart>
        <c:barDir val="col"/>
        <c:grouping val="clustered"/>
        <c:varyColors val="0"/>
        <c:ser>
          <c:idx val="0"/>
          <c:order val="0"/>
          <c:tx>
            <c:strRef>
              <c:f>'Analysis sheet'!$C$10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sheet'!$B$11:$B$14</c:f>
              <c:strCache>
                <c:ptCount val="3"/>
                <c:pt idx="0">
                  <c:v>Camera</c:v>
                </c:pt>
                <c:pt idx="1">
                  <c:v>Laptop</c:v>
                </c:pt>
                <c:pt idx="2">
                  <c:v>Smartphone</c:v>
                </c:pt>
              </c:strCache>
            </c:strRef>
          </c:cat>
          <c:val>
            <c:numRef>
              <c:f>'Analysis sheet'!$C$11:$C$14</c:f>
              <c:numCache>
                <c:formatCode>_ [$₹-4009]\ * #,##0.00_ ;_ [$₹-4009]\ * \-#,##0.00_ ;_ [$₹-4009]\ * "-"??_ ;_ @_ </c:formatCode>
                <c:ptCount val="3"/>
                <c:pt idx="0">
                  <c:v>207000</c:v>
                </c:pt>
                <c:pt idx="1">
                  <c:v>253000</c:v>
                </c:pt>
                <c:pt idx="2">
                  <c:v>138750</c:v>
                </c:pt>
              </c:numCache>
            </c:numRef>
          </c:val>
          <c:extLst>
            <c:ext xmlns:c16="http://schemas.microsoft.com/office/drawing/2014/chart" uri="{C3380CC4-5D6E-409C-BE32-E72D297353CC}">
              <c16:uniqueId val="{00000000-F50F-4BCF-BCA0-659E757332DE}"/>
            </c:ext>
          </c:extLst>
        </c:ser>
        <c:dLbls>
          <c:dLblPos val="outEnd"/>
          <c:showLegendKey val="0"/>
          <c:showVal val="1"/>
          <c:showCatName val="0"/>
          <c:showSerName val="0"/>
          <c:showPercent val="0"/>
          <c:showBubbleSize val="0"/>
        </c:dLbls>
        <c:gapWidth val="182"/>
        <c:axId val="1663978576"/>
        <c:axId val="492194192"/>
      </c:barChart>
      <c:catAx>
        <c:axId val="1663978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a:t>Products</a:t>
                </a:r>
              </a:p>
            </c:rich>
          </c:tx>
          <c:layout>
            <c:manualLayout>
              <c:xMode val="edge"/>
              <c:yMode val="edge"/>
              <c:x val="0.49087186671654981"/>
              <c:y val="0.913102149346332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492194192"/>
        <c:crosses val="autoZero"/>
        <c:auto val="1"/>
        <c:lblAlgn val="ctr"/>
        <c:lblOffset val="100"/>
        <c:noMultiLvlLbl val="0"/>
      </c:catAx>
      <c:valAx>
        <c:axId val="492194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sz="1000" b="0" i="0" u="none" strike="noStrike" kern="1200" baseline="0">
                    <a:solidFill>
                      <a:schemeClr val="tx1"/>
                    </a:solidFill>
                    <a:latin typeface="Arial Black" panose="020B0A04020102020204" pitchFamily="34" charset="0"/>
                  </a:rPr>
                  <a:t>Revenue (₹)</a:t>
                </a:r>
              </a:p>
            </c:rich>
          </c:tx>
          <c:layout>
            <c:manualLayout>
              <c:xMode val="edge"/>
              <c:yMode val="edge"/>
              <c:x val="1.6174866867791158E-2"/>
              <c:y val="0.387677598050077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166397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Arial Black" panose="020B0A04020102020204" pitchFamily="34" charset="0"/>
                <a:ea typeface="+mn-ea"/>
                <a:cs typeface="+mn-cs"/>
              </a:defRPr>
            </a:pPr>
            <a:r>
              <a:rPr lang="en-IN" sz="2000" b="0" i="0" u="none" strike="noStrike" baseline="0">
                <a:solidFill>
                  <a:schemeClr val="tx1"/>
                </a:solidFill>
                <a:latin typeface="Arial Black" panose="020B0A04020102020204" pitchFamily="34" charset="0"/>
              </a:rPr>
              <a:t>Discount vs Revenue</a:t>
            </a:r>
          </a:p>
        </c:rich>
      </c:tx>
      <c:layout>
        <c:manualLayout>
          <c:xMode val="edge"/>
          <c:yMode val="edge"/>
          <c:x val="0.42805606425374298"/>
          <c:y val="4.689082642312427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lotArea>
      <c:layout>
        <c:manualLayout>
          <c:layoutTarget val="inner"/>
          <c:xMode val="edge"/>
          <c:yMode val="edge"/>
          <c:x val="0.16795797067800119"/>
          <c:y val="0.13551845404951995"/>
          <c:w val="0.76434456692605113"/>
          <c:h val="0.73291373633188495"/>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Orders!$J$2:$J$41</c:f>
              <c:numCache>
                <c:formatCode>0%</c:formatCode>
                <c:ptCount val="40"/>
                <c:pt idx="0">
                  <c:v>0.05</c:v>
                </c:pt>
                <c:pt idx="1">
                  <c:v>0.1</c:v>
                </c:pt>
                <c:pt idx="2">
                  <c:v>0.05</c:v>
                </c:pt>
                <c:pt idx="3">
                  <c:v>0</c:v>
                </c:pt>
                <c:pt idx="4">
                  <c:v>0.1</c:v>
                </c:pt>
                <c:pt idx="5">
                  <c:v>0.05</c:v>
                </c:pt>
                <c:pt idx="6">
                  <c:v>0</c:v>
                </c:pt>
                <c:pt idx="7">
                  <c:v>0.08</c:v>
                </c:pt>
                <c:pt idx="8">
                  <c:v>0.05</c:v>
                </c:pt>
                <c:pt idx="9">
                  <c:v>0.1</c:v>
                </c:pt>
                <c:pt idx="10">
                  <c:v>0.05</c:v>
                </c:pt>
                <c:pt idx="11">
                  <c:v>0</c:v>
                </c:pt>
                <c:pt idx="12">
                  <c:v>0.05</c:v>
                </c:pt>
                <c:pt idx="13">
                  <c:v>0.1</c:v>
                </c:pt>
                <c:pt idx="14">
                  <c:v>0.05</c:v>
                </c:pt>
                <c:pt idx="15">
                  <c:v>0.08</c:v>
                </c:pt>
                <c:pt idx="16">
                  <c:v>0.1</c:v>
                </c:pt>
                <c:pt idx="17">
                  <c:v>0.05</c:v>
                </c:pt>
                <c:pt idx="18">
                  <c:v>0</c:v>
                </c:pt>
                <c:pt idx="19">
                  <c:v>0.1</c:v>
                </c:pt>
                <c:pt idx="20">
                  <c:v>0.05</c:v>
                </c:pt>
                <c:pt idx="21">
                  <c:v>0.1</c:v>
                </c:pt>
                <c:pt idx="22">
                  <c:v>0.05</c:v>
                </c:pt>
                <c:pt idx="23">
                  <c:v>0.05</c:v>
                </c:pt>
                <c:pt idx="24">
                  <c:v>0</c:v>
                </c:pt>
                <c:pt idx="25">
                  <c:v>0.08</c:v>
                </c:pt>
                <c:pt idx="26">
                  <c:v>0.1</c:v>
                </c:pt>
                <c:pt idx="27">
                  <c:v>0.05</c:v>
                </c:pt>
                <c:pt idx="28">
                  <c:v>0</c:v>
                </c:pt>
                <c:pt idx="29">
                  <c:v>0.1</c:v>
                </c:pt>
                <c:pt idx="30">
                  <c:v>0.05</c:v>
                </c:pt>
                <c:pt idx="31">
                  <c:v>0.05</c:v>
                </c:pt>
                <c:pt idx="32">
                  <c:v>0.05</c:v>
                </c:pt>
                <c:pt idx="33">
                  <c:v>0.1</c:v>
                </c:pt>
                <c:pt idx="34">
                  <c:v>0</c:v>
                </c:pt>
                <c:pt idx="35">
                  <c:v>0.05</c:v>
                </c:pt>
                <c:pt idx="36">
                  <c:v>0.1</c:v>
                </c:pt>
                <c:pt idx="37">
                  <c:v>0.08</c:v>
                </c:pt>
                <c:pt idx="38">
                  <c:v>0.05</c:v>
                </c:pt>
                <c:pt idx="39">
                  <c:v>0.1</c:v>
                </c:pt>
              </c:numCache>
            </c:numRef>
          </c:xVal>
          <c:yVal>
            <c:numRef>
              <c:f>Orders!$M$2:$M$41</c:f>
              <c:numCache>
                <c:formatCode>General</c:formatCode>
                <c:ptCount val="40"/>
                <c:pt idx="0">
                  <c:v>52250</c:v>
                </c:pt>
                <c:pt idx="1">
                  <c:v>45000</c:v>
                </c:pt>
                <c:pt idx="2">
                  <c:v>6650</c:v>
                </c:pt>
                <c:pt idx="3">
                  <c:v>7500</c:v>
                </c:pt>
                <c:pt idx="4">
                  <c:v>4320</c:v>
                </c:pt>
                <c:pt idx="5">
                  <c:v>7600</c:v>
                </c:pt>
                <c:pt idx="6">
                  <c:v>3600</c:v>
                </c:pt>
                <c:pt idx="7">
                  <c:v>41400</c:v>
                </c:pt>
                <c:pt idx="8">
                  <c:v>5700</c:v>
                </c:pt>
                <c:pt idx="9">
                  <c:v>3960</c:v>
                </c:pt>
                <c:pt idx="10">
                  <c:v>23750</c:v>
                </c:pt>
                <c:pt idx="11">
                  <c:v>5400</c:v>
                </c:pt>
                <c:pt idx="12">
                  <c:v>3325</c:v>
                </c:pt>
                <c:pt idx="13">
                  <c:v>49500</c:v>
                </c:pt>
                <c:pt idx="14">
                  <c:v>5700</c:v>
                </c:pt>
                <c:pt idx="15">
                  <c:v>41400</c:v>
                </c:pt>
                <c:pt idx="16">
                  <c:v>5400</c:v>
                </c:pt>
                <c:pt idx="17">
                  <c:v>4750</c:v>
                </c:pt>
                <c:pt idx="18">
                  <c:v>1800</c:v>
                </c:pt>
                <c:pt idx="19">
                  <c:v>5940</c:v>
                </c:pt>
                <c:pt idx="20">
                  <c:v>52250</c:v>
                </c:pt>
                <c:pt idx="21">
                  <c:v>22500</c:v>
                </c:pt>
                <c:pt idx="22">
                  <c:v>9975</c:v>
                </c:pt>
                <c:pt idx="23">
                  <c:v>15200</c:v>
                </c:pt>
                <c:pt idx="24">
                  <c:v>3000</c:v>
                </c:pt>
                <c:pt idx="25">
                  <c:v>82800</c:v>
                </c:pt>
                <c:pt idx="26">
                  <c:v>3960</c:v>
                </c:pt>
                <c:pt idx="27">
                  <c:v>9500</c:v>
                </c:pt>
                <c:pt idx="28">
                  <c:v>3600</c:v>
                </c:pt>
                <c:pt idx="29">
                  <c:v>3240</c:v>
                </c:pt>
                <c:pt idx="30">
                  <c:v>47500</c:v>
                </c:pt>
                <c:pt idx="31">
                  <c:v>8550</c:v>
                </c:pt>
                <c:pt idx="32">
                  <c:v>6650</c:v>
                </c:pt>
                <c:pt idx="33">
                  <c:v>99000</c:v>
                </c:pt>
                <c:pt idx="34">
                  <c:v>3600</c:v>
                </c:pt>
                <c:pt idx="35">
                  <c:v>7600</c:v>
                </c:pt>
                <c:pt idx="36">
                  <c:v>4320</c:v>
                </c:pt>
                <c:pt idx="37">
                  <c:v>41400</c:v>
                </c:pt>
                <c:pt idx="38">
                  <c:v>5700</c:v>
                </c:pt>
                <c:pt idx="39">
                  <c:v>3960</c:v>
                </c:pt>
              </c:numCache>
            </c:numRef>
          </c:yVal>
          <c:smooth val="0"/>
          <c:extLst>
            <c:ext xmlns:c16="http://schemas.microsoft.com/office/drawing/2014/chart" uri="{C3380CC4-5D6E-409C-BE32-E72D297353CC}">
              <c16:uniqueId val="{00000000-1027-4C8F-B2FF-1BA9A5828FB7}"/>
            </c:ext>
          </c:extLst>
        </c:ser>
        <c:dLbls>
          <c:showLegendKey val="0"/>
          <c:showVal val="0"/>
          <c:showCatName val="0"/>
          <c:showSerName val="0"/>
          <c:showPercent val="0"/>
          <c:showBubbleSize val="0"/>
        </c:dLbls>
        <c:axId val="1511029152"/>
        <c:axId val="492098672"/>
      </c:scatterChart>
      <c:valAx>
        <c:axId val="1511029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sz="1000" b="0" i="0" u="none" strike="noStrike" baseline="0">
                    <a:solidFill>
                      <a:schemeClr val="tx1"/>
                    </a:solidFill>
                    <a:latin typeface="Arial Black" panose="020B0A04020102020204" pitchFamily="34" charset="0"/>
                  </a:rPr>
                  <a:t>Discount (%)</a:t>
                </a:r>
                <a:endParaRPr lang="en-IN">
                  <a:solidFill>
                    <a:schemeClr val="tx1"/>
                  </a:solidFill>
                  <a:latin typeface="Arial Black" panose="020B0A04020102020204" pitchFamily="34" charset="0"/>
                </a:endParaRPr>
              </a:p>
            </c:rich>
          </c:tx>
          <c:layout>
            <c:manualLayout>
              <c:xMode val="edge"/>
              <c:yMode val="edge"/>
              <c:x val="0.4992780256312756"/>
              <c:y val="0.93580455783208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492098672"/>
        <c:crosses val="autoZero"/>
        <c:crossBetween val="midCat"/>
      </c:valAx>
      <c:valAx>
        <c:axId val="492098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sz="1000" b="0" i="0" u="none" strike="noStrike" baseline="0">
                    <a:solidFill>
                      <a:schemeClr val="tx1"/>
                    </a:solidFill>
                    <a:latin typeface="Arial Black" panose="020B0A04020102020204" pitchFamily="34" charset="0"/>
                  </a:rPr>
                  <a:t>Revenue (₹)</a:t>
                </a:r>
                <a:endParaRPr lang="en-IN">
                  <a:solidFill>
                    <a:schemeClr val="tx1"/>
                  </a:solidFill>
                  <a:latin typeface="Arial Black" panose="020B0A04020102020204" pitchFamily="34" charset="0"/>
                </a:endParaRPr>
              </a:p>
            </c:rich>
          </c:tx>
          <c:layout>
            <c:manualLayout>
              <c:xMode val="edge"/>
              <c:yMode val="edge"/>
              <c:x val="2.8725500859839069E-2"/>
              <c:y val="0.3855947935183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IN"/>
            </a:p>
          </c:txPr>
        </c:title>
        <c:numFmt formatCode="&quot;₹&quot;\ #,##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crossAx val="1511029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[Ecommerce_Sales_Analytics_Data.xlsx]Analysis sheet!PivotTable10</c:name>
    <c:fmtId val="3"/>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r>
              <a:rPr lang="en-IN" sz="1400" b="0" i="0" u="none" strike="noStrike" baseline="0">
                <a:solidFill>
                  <a:schemeClr val="tx2">
                    <a:lumMod val="50000"/>
                  </a:schemeClr>
                </a:solidFill>
                <a:latin typeface="Arial Black" panose="020B0A04020102020204" pitchFamily="34" charset="0"/>
              </a:rPr>
              <a:t>Top 5 Customers by Revenue</a:t>
            </a:r>
            <a:endParaRPr lang="en-IN">
              <a:solidFill>
                <a:schemeClr val="tx2">
                  <a:lumMod val="50000"/>
                </a:schemeClr>
              </a:solidFill>
              <a:latin typeface="Arial Black" panose="020B0A04020102020204" pitchFamily="34" charset="0"/>
            </a:endParaRPr>
          </a:p>
        </c:rich>
      </c:tx>
      <c:layout>
        <c:manualLayout>
          <c:xMode val="edge"/>
          <c:yMode val="edge"/>
          <c:x val="0.25186613327222213"/>
          <c:y val="8.7863416622501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13670166229221"/>
          <c:y val="0.26328484981044037"/>
          <c:w val="0.59047659667541552"/>
          <c:h val="0.6293157626130067"/>
        </c:manualLayout>
      </c:layout>
      <c:barChart>
        <c:barDir val="col"/>
        <c:grouping val="clustered"/>
        <c:varyColors val="0"/>
        <c:ser>
          <c:idx val="0"/>
          <c:order val="0"/>
          <c:tx>
            <c:strRef>
              <c:f>'Analysis sheet'!$U$19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sheet'!$T$20:$T$25</c:f>
              <c:strCache>
                <c:ptCount val="5"/>
                <c:pt idx="0">
                  <c:v>Ajay</c:v>
                </c:pt>
                <c:pt idx="1">
                  <c:v>Arun</c:v>
                </c:pt>
                <c:pt idx="2">
                  <c:v>Kiran</c:v>
                </c:pt>
                <c:pt idx="3">
                  <c:v>David</c:v>
                </c:pt>
                <c:pt idx="4">
                  <c:v>Rahul</c:v>
                </c:pt>
              </c:strCache>
            </c:strRef>
          </c:cat>
          <c:val>
            <c:numRef>
              <c:f>'Analysis sheet'!$U$20:$U$25</c:f>
              <c:numCache>
                <c:formatCode>_("₹"* #,##0.00_);_("₹"* \(#,##0.00\);_("₹"* "-"??_);_(@_)</c:formatCode>
                <c:ptCount val="5"/>
                <c:pt idx="0">
                  <c:v>175750</c:v>
                </c:pt>
                <c:pt idx="1">
                  <c:v>171200</c:v>
                </c:pt>
                <c:pt idx="2">
                  <c:v>139400</c:v>
                </c:pt>
                <c:pt idx="3">
                  <c:v>97050</c:v>
                </c:pt>
                <c:pt idx="4">
                  <c:v>81450</c:v>
                </c:pt>
              </c:numCache>
            </c:numRef>
          </c:val>
          <c:extLst>
            <c:ext xmlns:c16="http://schemas.microsoft.com/office/drawing/2014/chart" uri="{C3380CC4-5D6E-409C-BE32-E72D297353CC}">
              <c16:uniqueId val="{00000000-8740-4DFE-83CB-862A35BF7CFA}"/>
            </c:ext>
          </c:extLst>
        </c:ser>
        <c:dLbls>
          <c:dLblPos val="outEnd"/>
          <c:showLegendKey val="0"/>
          <c:showVal val="1"/>
          <c:showCatName val="0"/>
          <c:showSerName val="0"/>
          <c:showPercent val="0"/>
          <c:showBubbleSize val="0"/>
        </c:dLbls>
        <c:gapWidth val="182"/>
        <c:axId val="117493583"/>
        <c:axId val="17574863"/>
      </c:barChart>
      <c:catAx>
        <c:axId val="117493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latin typeface="Arial Black" panose="020B0A04020102020204" pitchFamily="34" charset="0"/>
                  </a:rPr>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Black" panose="020B0A04020102020204" pitchFamily="34" charset="0"/>
                <a:ea typeface="+mn-ea"/>
                <a:cs typeface="+mn-cs"/>
              </a:defRPr>
            </a:pPr>
            <a:endParaRPr lang="en-US"/>
          </a:p>
        </c:txPr>
        <c:crossAx val="17574863"/>
        <c:crosses val="autoZero"/>
        <c:auto val="1"/>
        <c:lblAlgn val="ctr"/>
        <c:lblOffset val="100"/>
        <c:noMultiLvlLbl val="0"/>
      </c:catAx>
      <c:valAx>
        <c:axId val="1757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chemeClr val="tx1"/>
                    </a:solidFill>
                    <a:latin typeface="Arial Black" panose="020B0A04020102020204" pitchFamily="34" charset="0"/>
                  </a:rPr>
                  <a:t>Revenue (₹)</a:t>
                </a:r>
              </a:p>
            </c:rich>
          </c:tx>
          <c:layout>
            <c:manualLayout>
              <c:xMode val="edge"/>
              <c:yMode val="edge"/>
              <c:x val="5.3770710135324751E-2"/>
              <c:y val="0.479739119112205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Black" panose="020B0A04020102020204" pitchFamily="34" charset="0"/>
                <a:ea typeface="+mn-ea"/>
                <a:cs typeface="+mn-cs"/>
              </a:defRPr>
            </a:pPr>
            <a:endParaRPr lang="en-US"/>
          </a:p>
        </c:txPr>
        <c:crossAx val="1174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[Ecommerce_Sales_Analytics_Data.xlsx]Analysis sheet!PivotTable1</c:name>
    <c:fmtId val="0"/>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r>
              <a:rPr lang="en-IN" sz="1400" b="0" i="0" u="none" strike="noStrike" baseline="0">
                <a:solidFill>
                  <a:schemeClr val="tx2">
                    <a:lumMod val="50000"/>
                  </a:schemeClr>
                </a:solidFill>
                <a:latin typeface="Arial Black" panose="020B0A04020102020204" pitchFamily="34" charset="0"/>
              </a:rPr>
              <a:t>Monthly Revenue Trend</a:t>
            </a:r>
            <a:endParaRPr lang="en-IN">
              <a:solidFill>
                <a:schemeClr val="tx2">
                  <a:lumMod val="5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Arial Black" panose="020B0A04020102020204" pitchFamily="34" charset="0"/>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66164689167548"/>
          <c:y val="0.15913595507358183"/>
          <c:w val="0.59778656908258931"/>
          <c:h val="0.65832828583663361"/>
        </c:manualLayout>
      </c:layout>
      <c:lineChart>
        <c:grouping val="standard"/>
        <c:varyColors val="0"/>
        <c:ser>
          <c:idx val="0"/>
          <c:order val="0"/>
          <c:tx>
            <c:strRef>
              <c:f>'Analysis sheet'!$S$16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sheet'!$R$17:$R$20</c:f>
              <c:strCache>
                <c:ptCount val="3"/>
                <c:pt idx="0">
                  <c:v>Jan</c:v>
                </c:pt>
                <c:pt idx="1">
                  <c:v>Feb</c:v>
                </c:pt>
                <c:pt idx="2">
                  <c:v>Mar</c:v>
                </c:pt>
              </c:strCache>
            </c:strRef>
          </c:cat>
          <c:val>
            <c:numRef>
              <c:f>'Analysis sheet'!$S$17:$S$20</c:f>
              <c:numCache>
                <c:formatCode>_ [$₹-4009]\ * #,##0.00_ ;_ [$₹-4009]\ * \-#,##0.00_ ;_ [$₹-4009]\ * "-"??_ ;_ @_ </c:formatCode>
                <c:ptCount val="3"/>
                <c:pt idx="0">
                  <c:v>265655</c:v>
                </c:pt>
                <c:pt idx="1">
                  <c:v>248975</c:v>
                </c:pt>
                <c:pt idx="2">
                  <c:v>244620</c:v>
                </c:pt>
              </c:numCache>
            </c:numRef>
          </c:val>
          <c:smooth val="0"/>
          <c:extLst>
            <c:ext xmlns:c16="http://schemas.microsoft.com/office/drawing/2014/chart" uri="{C3380CC4-5D6E-409C-BE32-E72D297353CC}">
              <c16:uniqueId val="{00000000-9CB9-4E97-9A3A-00FAF31D03ED}"/>
            </c:ext>
          </c:extLst>
        </c:ser>
        <c:dLbls>
          <c:dLblPos val="t"/>
          <c:showLegendKey val="0"/>
          <c:showVal val="1"/>
          <c:showCatName val="0"/>
          <c:showSerName val="0"/>
          <c:showPercent val="0"/>
          <c:showBubbleSize val="0"/>
        </c:dLbls>
        <c:smooth val="0"/>
        <c:axId val="117479663"/>
        <c:axId val="17686703"/>
      </c:lineChart>
      <c:catAx>
        <c:axId val="117479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r>
                  <a:rPr lang="en-IN">
                    <a:solidFill>
                      <a:schemeClr val="tx1"/>
                    </a:solidFill>
                    <a:latin typeface="Arial Black" panose="020B0A04020102020204" pitchFamily="34" charset="0"/>
                  </a:rPr>
                  <a:t>Months</a:t>
                </a:r>
              </a:p>
            </c:rich>
          </c:tx>
          <c:layout>
            <c:manualLayout>
              <c:xMode val="edge"/>
              <c:yMode val="edge"/>
              <c:x val="0.49177911366541383"/>
              <c:y val="0.901972521246577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Black" panose="020B0A04020102020204" pitchFamily="34" charset="0"/>
                <a:ea typeface="+mn-ea"/>
                <a:cs typeface="+mn-cs"/>
              </a:defRPr>
            </a:pPr>
            <a:endParaRPr lang="en-US"/>
          </a:p>
        </c:txPr>
        <c:crossAx val="17686703"/>
        <c:crosses val="autoZero"/>
        <c:auto val="1"/>
        <c:lblAlgn val="ctr"/>
        <c:lblOffset val="100"/>
        <c:noMultiLvlLbl val="0"/>
      </c:catAx>
      <c:valAx>
        <c:axId val="17686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chemeClr val="tx1"/>
                    </a:solidFill>
                    <a:latin typeface="Arial Black" panose="020B0A04020102020204" pitchFamily="34" charset="0"/>
                  </a:rPr>
                  <a:t>Revenue (₹)</a:t>
                </a:r>
              </a:p>
            </c:rich>
          </c:tx>
          <c:layout>
            <c:manualLayout>
              <c:xMode val="edge"/>
              <c:yMode val="edge"/>
              <c:x val="4.3374110838152347E-2"/>
              <c:y val="0.3939062936249174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Black" panose="020B0A04020102020204" pitchFamily="34" charset="0"/>
                <a:ea typeface="+mn-ea"/>
                <a:cs typeface="+mn-cs"/>
              </a:defRPr>
            </a:pPr>
            <a:endParaRPr lang="en-US"/>
          </a:p>
        </c:txPr>
        <c:crossAx val="117479663"/>
        <c:crosses val="autoZero"/>
        <c:crossBetween val="between"/>
      </c:valAx>
      <c:spPr>
        <a:noFill/>
        <a:ln>
          <a:noFill/>
        </a:ln>
        <a:effectLst/>
      </c:spPr>
    </c:plotArea>
    <c:legend>
      <c:legendPos val="r"/>
      <c:layout>
        <c:manualLayout>
          <c:xMode val="edge"/>
          <c:yMode val="edge"/>
          <c:x val="0.88753260545079937"/>
          <c:y val="0.5125353028267795"/>
          <c:w val="9.7871714373804056E-2"/>
          <c:h val="6.46252594734222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1169565</xdr:colOff>
      <xdr:row>7</xdr:row>
      <xdr:rowOff>292895</xdr:rowOff>
    </xdr:from>
    <xdr:to>
      <xdr:col>3</xdr:col>
      <xdr:colOff>281908</xdr:colOff>
      <xdr:row>12</xdr:row>
      <xdr:rowOff>114557</xdr:rowOff>
    </xdr:to>
    <mc:AlternateContent xmlns:mc="http://schemas.openxmlformats.org/markup-compatibility/2006" xmlns:a14="http://schemas.microsoft.com/office/drawing/2010/main">
      <mc:Choice Requires="a14">
        <xdr:graphicFrame macro="">
          <xdr:nvGraphicFramePr>
            <xdr:cNvPr id="3" name="Category 2">
              <a:extLst>
                <a:ext uri="{FF2B5EF4-FFF2-40B4-BE49-F238E27FC236}">
                  <a16:creationId xmlns:a16="http://schemas.microsoft.com/office/drawing/2014/main" id="{82790E78-ACF1-AAFE-B191-4575A1C1461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22708" y="4066609"/>
              <a:ext cx="3103771" cy="1381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463079</xdr:colOff>
      <xdr:row>14</xdr:row>
      <xdr:rowOff>266238</xdr:rowOff>
    </xdr:from>
    <xdr:to>
      <xdr:col>18</xdr:col>
      <xdr:colOff>770803</xdr:colOff>
      <xdr:row>38</xdr:row>
      <xdr:rowOff>122077</xdr:rowOff>
    </xdr:to>
    <xdr:graphicFrame macro="">
      <xdr:nvGraphicFramePr>
        <xdr:cNvPr id="6" name="Chart 5">
          <a:extLst>
            <a:ext uri="{FF2B5EF4-FFF2-40B4-BE49-F238E27FC236}">
              <a16:creationId xmlns:a16="http://schemas.microsoft.com/office/drawing/2014/main" id="{366CD598-53E7-8475-502E-531A42C60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1619363</xdr:colOff>
      <xdr:row>7</xdr:row>
      <xdr:rowOff>285738</xdr:rowOff>
    </xdr:from>
    <xdr:to>
      <xdr:col>6</xdr:col>
      <xdr:colOff>210126</xdr:colOff>
      <xdr:row>12</xdr:row>
      <xdr:rowOff>127995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EC082D3-F2D3-CEB8-7B89-DF6A0DC467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79506" y="4059452"/>
              <a:ext cx="3035763" cy="1402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267729</xdr:colOff>
      <xdr:row>39</xdr:row>
      <xdr:rowOff>156619</xdr:rowOff>
    </xdr:from>
    <xdr:to>
      <xdr:col>11</xdr:col>
      <xdr:colOff>113270</xdr:colOff>
      <xdr:row>66</xdr:row>
      <xdr:rowOff>154458</xdr:rowOff>
    </xdr:to>
    <xdr:graphicFrame macro="">
      <xdr:nvGraphicFramePr>
        <xdr:cNvPr id="9" name="Chart 8">
          <a:extLst>
            <a:ext uri="{FF2B5EF4-FFF2-40B4-BE49-F238E27FC236}">
              <a16:creationId xmlns:a16="http://schemas.microsoft.com/office/drawing/2014/main" id="{5302F1B0-B301-C177-02DE-BA9A11263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361450</xdr:colOff>
      <xdr:row>7</xdr:row>
      <xdr:rowOff>324588</xdr:rowOff>
    </xdr:from>
    <xdr:to>
      <xdr:col>9</xdr:col>
      <xdr:colOff>1034655</xdr:colOff>
      <xdr:row>13</xdr:row>
      <xdr:rowOff>2376</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0CA7ED75-128A-9783-9BF7-96969E53F0F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551307" y="4098302"/>
              <a:ext cx="2959205" cy="1419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370704</xdr:colOff>
      <xdr:row>14</xdr:row>
      <xdr:rowOff>298624</xdr:rowOff>
    </xdr:from>
    <xdr:to>
      <xdr:col>4</xdr:col>
      <xdr:colOff>1367689</xdr:colOff>
      <xdr:row>41</xdr:row>
      <xdr:rowOff>20596</xdr:rowOff>
    </xdr:to>
    <xdr:graphicFrame macro="">
      <xdr:nvGraphicFramePr>
        <xdr:cNvPr id="12" name="Chart 11">
          <a:extLst>
            <a:ext uri="{FF2B5EF4-FFF2-40B4-BE49-F238E27FC236}">
              <a16:creationId xmlns:a16="http://schemas.microsoft.com/office/drawing/2014/main" id="{92BDA534-E229-2270-D2A3-113BA6854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370706</xdr:colOff>
      <xdr:row>41</xdr:row>
      <xdr:rowOff>141378</xdr:rowOff>
    </xdr:from>
    <xdr:to>
      <xdr:col>4</xdr:col>
      <xdr:colOff>1369541</xdr:colOff>
      <xdr:row>66</xdr:row>
      <xdr:rowOff>154459</xdr:rowOff>
    </xdr:to>
    <xdr:graphicFrame macro="">
      <xdr:nvGraphicFramePr>
        <xdr:cNvPr id="14" name="Chart 13">
          <a:extLst>
            <a:ext uri="{FF2B5EF4-FFF2-40B4-BE49-F238E27FC236}">
              <a16:creationId xmlns:a16="http://schemas.microsoft.com/office/drawing/2014/main" id="{41ED775A-889B-4FFC-331F-C8102C01A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615464</xdr:colOff>
      <xdr:row>69</xdr:row>
      <xdr:rowOff>16171</xdr:rowOff>
    </xdr:from>
    <xdr:to>
      <xdr:col>18</xdr:col>
      <xdr:colOff>688731</xdr:colOff>
      <xdr:row>108</xdr:row>
      <xdr:rowOff>79606</xdr:rowOff>
    </xdr:to>
    <xdr:graphicFrame macro="">
      <xdr:nvGraphicFramePr>
        <xdr:cNvPr id="16" name="Chart 6">
          <a:extLst>
            <a:ext uri="{FF2B5EF4-FFF2-40B4-BE49-F238E27FC236}">
              <a16:creationId xmlns:a16="http://schemas.microsoft.com/office/drawing/2014/main" id="{1DD552B8-A698-CA36-532C-300AAD4FF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247135</xdr:colOff>
      <xdr:row>14</xdr:row>
      <xdr:rowOff>319216</xdr:rowOff>
    </xdr:from>
    <xdr:to>
      <xdr:col>11</xdr:col>
      <xdr:colOff>144161</xdr:colOff>
      <xdr:row>39</xdr:row>
      <xdr:rowOff>30891</xdr:rowOff>
    </xdr:to>
    <xdr:graphicFrame macro="">
      <xdr:nvGraphicFramePr>
        <xdr:cNvPr id="2" name="Chart 1">
          <a:extLst>
            <a:ext uri="{FF2B5EF4-FFF2-40B4-BE49-F238E27FC236}">
              <a16:creationId xmlns:a16="http://schemas.microsoft.com/office/drawing/2014/main" id="{733FC893-956A-71CD-45CF-54BFB11F9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386941</xdr:colOff>
      <xdr:row>40</xdr:row>
      <xdr:rowOff>18218</xdr:rowOff>
    </xdr:from>
    <xdr:to>
      <xdr:col>18</xdr:col>
      <xdr:colOff>737444</xdr:colOff>
      <xdr:row>66</xdr:row>
      <xdr:rowOff>173469</xdr:rowOff>
    </xdr:to>
    <xdr:graphicFrame macro="">
      <xdr:nvGraphicFramePr>
        <xdr:cNvPr id="5" name="Chart 4">
          <a:extLst>
            <a:ext uri="{FF2B5EF4-FFF2-40B4-BE49-F238E27FC236}">
              <a16:creationId xmlns:a16="http://schemas.microsoft.com/office/drawing/2014/main" id="{2BC2E99C-4EB0-E6DD-C623-64E3879C8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1342</xdr:colOff>
      <xdr:row>7</xdr:row>
      <xdr:rowOff>247284</xdr:rowOff>
    </xdr:from>
    <xdr:to>
      <xdr:col>16</xdr:col>
      <xdr:colOff>123118</xdr:colOff>
      <xdr:row>12</xdr:row>
      <xdr:rowOff>89540</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E77DD3F9-AA92-1DCC-71D3-ADC1636587FB}"/>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20611628" y="4020998"/>
              <a:ext cx="3242347" cy="1402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8.53328773148" createdVersion="8" refreshedVersion="8" minRefreshableVersion="3" recordCount="40" xr:uid="{F36959F5-5523-4F5A-B741-B24B8F236729}">
  <cacheSource type="worksheet">
    <worksheetSource name="Table2"/>
  </cacheSource>
  <cacheFields count="21">
    <cacheField name="Order_ID" numFmtId="0">
      <sharedItems/>
    </cacheField>
    <cacheField name="Order_Date" numFmtId="164">
      <sharedItems containsSemiMixedTypes="0" containsNonDate="0" containsDate="1" containsString="0" minDate="2026-01-01T00:00:00" maxDate="2026-03-31T00:00:00" count="40">
        <d v="2026-01-01T00:00:00"/>
        <d v="2026-01-02T00:00:00"/>
        <d v="2026-01-03T00:00:00"/>
        <d v="2026-01-05T00:00:00"/>
        <d v="2026-01-07T00:00:00"/>
        <d v="2026-01-09T00:00:00"/>
        <d v="2026-01-11T00:00:00"/>
        <d v="2026-01-13T00:00:00"/>
        <d v="2026-01-15T00:00:00"/>
        <d v="2026-01-18T00:00:00"/>
        <d v="2026-01-20T00:00:00"/>
        <d v="2026-01-22T00:00:00"/>
        <d v="2026-01-24T00:00:00"/>
        <d v="2026-01-26T00:00:00"/>
        <d v="2026-01-28T00:00:00"/>
        <d v="2026-02-01T00:00:00"/>
        <d v="2026-02-03T00:00:00"/>
        <d v="2026-02-05T00:00:00"/>
        <d v="2026-02-07T00:00:00"/>
        <d v="2026-02-10T00:00:00"/>
        <d v="2026-02-12T00:00:00"/>
        <d v="2026-02-15T00:00:00"/>
        <d v="2026-02-18T00:00:00"/>
        <d v="2026-02-20T00:00:00"/>
        <d v="2026-02-22T00:00:00"/>
        <d v="2026-02-25T00:00:00"/>
        <d v="2026-02-27T00:00:00"/>
        <d v="2026-03-01T00:00:00"/>
        <d v="2026-03-03T00:00:00"/>
        <d v="2026-03-05T00:00:00"/>
        <d v="2026-03-08T00:00:00"/>
        <d v="2026-03-10T00:00:00"/>
        <d v="2026-03-12T00:00:00"/>
        <d v="2026-03-15T00:00:00"/>
        <d v="2026-03-18T00:00:00"/>
        <d v="2026-03-20T00:00:00"/>
        <d v="2026-03-22T00:00:00"/>
        <d v="2026-03-25T00:00:00"/>
        <d v="2026-03-27T00:00:00"/>
        <d v="2026-03-30T00:00:00"/>
      </sharedItems>
      <fieldGroup par="20"/>
    </cacheField>
    <cacheField name="Customer" numFmtId="0">
      <sharedItems count="10">
        <s v="Ajay"/>
        <s v="Rahul"/>
        <s v="Priya"/>
        <s v="Arun"/>
        <s v="Sneha"/>
        <s v="Kiran"/>
        <s v="Anjali"/>
        <s v="David"/>
        <s v="Ravi"/>
        <s v="Neha"/>
      </sharedItems>
    </cacheField>
    <cacheField name="City" numFmtId="0">
      <sharedItems count="7">
        <s v="Chennai"/>
        <s v="Bangalore"/>
        <s v="Hyderabad"/>
        <s v="Mumbai"/>
        <s v="Delhi"/>
        <s v="Pune"/>
        <s v="Kolkata"/>
      </sharedItems>
    </cacheField>
    <cacheField name="Region" numFmtId="0">
      <sharedItems count="4">
        <s v="South"/>
        <s v="West"/>
        <s v="North"/>
        <s v="East"/>
      </sharedItems>
    </cacheField>
    <cacheField name="Category" numFmtId="0">
      <sharedItems count="3">
        <s v="Electronics"/>
        <s v="Fashion"/>
        <s v="Home"/>
      </sharedItems>
    </cacheField>
    <cacheField name="Product" numFmtId="0">
      <sharedItems count="10">
        <s v="Laptop"/>
        <s v="Smartphone"/>
        <s v="Shoes"/>
        <s v="Headphones"/>
        <s v="T-Shirt"/>
        <s v="Watch"/>
        <s v="Backpack"/>
        <s v="Camera"/>
        <s v="Keyboard"/>
        <s v="Jeans"/>
      </sharedItems>
    </cacheField>
    <cacheField name="Quantity" numFmtId="0">
      <sharedItems containsSemiMixedTypes="0" containsString="0" containsNumber="1" containsInteger="1" minValue="1" maxValue="5"/>
    </cacheField>
    <cacheField name="Unit_Price" numFmtId="3">
      <sharedItems containsSemiMixedTypes="0" containsString="0" containsNumber="1" containsInteger="1" minValue="1200" maxValue="55000"/>
    </cacheField>
    <cacheField name="Discount" numFmtId="9">
      <sharedItems containsSemiMixedTypes="0" containsString="0" containsNumber="1" minValue="0" maxValue="0.1" count="4">
        <n v="0.05"/>
        <n v="0.1"/>
        <n v="0"/>
        <n v="0.08"/>
      </sharedItems>
    </cacheField>
    <cacheField name="Payment_Method" numFmtId="0">
      <sharedItems count="3">
        <s v="UPI"/>
        <s v="Card"/>
        <s v="Cash"/>
      </sharedItems>
    </cacheField>
    <cacheField name="Order_Status" numFmtId="0">
      <sharedItems count="3">
        <s v="Delivered"/>
        <s v="Cancelled"/>
        <s v="Pending"/>
      </sharedItems>
    </cacheField>
    <cacheField name="Revenue" numFmtId="0">
      <sharedItems containsSemiMixedTypes="0" containsString="0" containsNumber="1" containsInteger="1" minValue="1800" maxValue="99000" count="27">
        <n v="52250"/>
        <n v="45000"/>
        <n v="6650"/>
        <n v="7500"/>
        <n v="4320"/>
        <n v="7600"/>
        <n v="3600"/>
        <n v="41400"/>
        <n v="5700"/>
        <n v="3960"/>
        <n v="23750"/>
        <n v="5400"/>
        <n v="3325"/>
        <n v="49500"/>
        <n v="4750"/>
        <n v="1800"/>
        <n v="5940"/>
        <n v="22500"/>
        <n v="9975"/>
        <n v="15200"/>
        <n v="3000"/>
        <n v="82800"/>
        <n v="9500"/>
        <n v="3240"/>
        <n v="47500"/>
        <n v="8550"/>
        <n v="99000"/>
      </sharedItems>
    </cacheField>
    <cacheField name="high or low" numFmtId="0">
      <sharedItems/>
    </cacheField>
    <cacheField name="P or N" numFmtId="0">
      <sharedItems/>
    </cacheField>
    <cacheField name="A or N" numFmtId="0">
      <sharedItems/>
    </cacheField>
    <cacheField name="Month" numFmtId="0">
      <sharedItems/>
    </cacheField>
    <cacheField name="Month_number" numFmtId="0">
      <sharedItems containsSemiMixedTypes="0" containsString="0" containsNumber="1" containsInteger="1" minValue="1" maxValue="3"/>
    </cacheField>
    <cacheField name="year" numFmtId="0">
      <sharedItems containsSemiMixedTypes="0" containsString="0" containsNumber="1" containsInteger="1" minValue="2026" maxValue="2026"/>
    </cacheField>
    <cacheField name="average dicount" numFmtId="0">
      <sharedItems containsString="0" containsBlank="1" containsNumber="1" minValue="5.9250000000000025E-2" maxValue="5.9250000000000025E-2"/>
    </cacheField>
    <cacheField name="Months (Order_Date)" numFmtId="0" databaseField="0">
      <fieldGroup base="1">
        <rangePr groupBy="months" startDate="2026-01-01T00:00:00" endDate="2026-03-31T00:00:00"/>
        <groupItems count="14">
          <s v="&lt;1-1-26"/>
          <s v="Jan"/>
          <s v="Feb"/>
          <s v="Mar"/>
          <s v="Apr"/>
          <s v="May"/>
          <s v="Jun"/>
          <s v="Jul"/>
          <s v="Aug"/>
          <s v="Sep"/>
          <s v="Oct"/>
          <s v="Nov"/>
          <s v="Dec"/>
          <s v="&gt;31-3-26"/>
        </groupItems>
      </fieldGroup>
    </cacheField>
  </cacheFields>
  <extLst>
    <ext xmlns:x14="http://schemas.microsoft.com/office/spreadsheetml/2009/9/main" uri="{725AE2AE-9491-48be-B2B4-4EB974FC3084}">
      <x14:pivotCacheDefinition pivotCacheId="707050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1001"/>
    <x v="0"/>
    <x v="0"/>
    <x v="0"/>
    <x v="0"/>
    <x v="0"/>
    <x v="0"/>
    <n v="1"/>
    <n v="55000"/>
    <x v="0"/>
    <x v="0"/>
    <x v="0"/>
    <x v="0"/>
    <s v="high"/>
    <s v="priority"/>
    <s v="normal"/>
    <s v="January"/>
    <n v="1"/>
    <n v="2026"/>
    <n v="5.9250000000000025E-2"/>
  </r>
  <r>
    <s v="ORD1002"/>
    <x v="1"/>
    <x v="1"/>
    <x v="1"/>
    <x v="0"/>
    <x v="0"/>
    <x v="1"/>
    <n v="2"/>
    <n v="25000"/>
    <x v="1"/>
    <x v="1"/>
    <x v="0"/>
    <x v="1"/>
    <s v="high"/>
    <s v="priority"/>
    <s v="normal"/>
    <s v="January"/>
    <n v="1"/>
    <n v="2026"/>
    <m/>
  </r>
  <r>
    <s v="ORD1003"/>
    <x v="2"/>
    <x v="2"/>
    <x v="2"/>
    <x v="0"/>
    <x v="1"/>
    <x v="2"/>
    <n v="2"/>
    <n v="3500"/>
    <x v="0"/>
    <x v="0"/>
    <x v="0"/>
    <x v="2"/>
    <s v="low"/>
    <s v="normal"/>
    <s v="normal"/>
    <s v="January"/>
    <n v="1"/>
    <n v="2026"/>
    <m/>
  </r>
  <r>
    <s v="ORD1004"/>
    <x v="3"/>
    <x v="3"/>
    <x v="3"/>
    <x v="1"/>
    <x v="0"/>
    <x v="3"/>
    <n v="3"/>
    <n v="2500"/>
    <x v="2"/>
    <x v="2"/>
    <x v="0"/>
    <x v="3"/>
    <s v="low"/>
    <s v="normal"/>
    <s v="normal"/>
    <s v="January"/>
    <n v="1"/>
    <n v="2026"/>
    <m/>
  </r>
  <r>
    <s v="ORD1005"/>
    <x v="4"/>
    <x v="4"/>
    <x v="4"/>
    <x v="2"/>
    <x v="1"/>
    <x v="4"/>
    <n v="4"/>
    <n v="1200"/>
    <x v="1"/>
    <x v="1"/>
    <x v="1"/>
    <x v="4"/>
    <s v="low"/>
    <s v="normal"/>
    <s v="attention"/>
    <s v="January"/>
    <n v="1"/>
    <n v="2026"/>
    <m/>
  </r>
  <r>
    <s v="ORD1006"/>
    <x v="5"/>
    <x v="5"/>
    <x v="5"/>
    <x v="1"/>
    <x v="0"/>
    <x v="5"/>
    <n v="1"/>
    <n v="8000"/>
    <x v="0"/>
    <x v="0"/>
    <x v="0"/>
    <x v="5"/>
    <s v="low"/>
    <s v="normal"/>
    <s v="normal"/>
    <s v="January"/>
    <n v="1"/>
    <n v="2026"/>
    <m/>
  </r>
  <r>
    <s v="ORD1007"/>
    <x v="6"/>
    <x v="6"/>
    <x v="0"/>
    <x v="0"/>
    <x v="2"/>
    <x v="6"/>
    <n v="2"/>
    <n v="1800"/>
    <x v="2"/>
    <x v="0"/>
    <x v="0"/>
    <x v="6"/>
    <s v="low"/>
    <s v="normal"/>
    <s v="normal"/>
    <s v="January"/>
    <n v="1"/>
    <n v="2026"/>
    <m/>
  </r>
  <r>
    <s v="ORD1008"/>
    <x v="7"/>
    <x v="7"/>
    <x v="6"/>
    <x v="3"/>
    <x v="0"/>
    <x v="7"/>
    <n v="1"/>
    <n v="45000"/>
    <x v="3"/>
    <x v="1"/>
    <x v="0"/>
    <x v="7"/>
    <s v="high"/>
    <s v="priority"/>
    <s v="normal"/>
    <s v="January"/>
    <n v="1"/>
    <n v="2026"/>
    <m/>
  </r>
  <r>
    <s v="ORD1009"/>
    <x v="8"/>
    <x v="8"/>
    <x v="1"/>
    <x v="0"/>
    <x v="2"/>
    <x v="8"/>
    <n v="2"/>
    <n v="3000"/>
    <x v="0"/>
    <x v="0"/>
    <x v="2"/>
    <x v="8"/>
    <s v="low"/>
    <s v="normal"/>
    <s v="attention"/>
    <s v="January"/>
    <n v="1"/>
    <n v="2026"/>
    <m/>
  </r>
  <r>
    <s v="ORD1010"/>
    <x v="9"/>
    <x v="9"/>
    <x v="4"/>
    <x v="2"/>
    <x v="1"/>
    <x v="9"/>
    <n v="2"/>
    <n v="2200"/>
    <x v="1"/>
    <x v="2"/>
    <x v="0"/>
    <x v="9"/>
    <s v="low"/>
    <s v="normal"/>
    <s v="normal"/>
    <s v="January"/>
    <n v="1"/>
    <n v="2026"/>
    <m/>
  </r>
  <r>
    <s v="ORD1011"/>
    <x v="10"/>
    <x v="0"/>
    <x v="0"/>
    <x v="0"/>
    <x v="0"/>
    <x v="1"/>
    <n v="1"/>
    <n v="25000"/>
    <x v="0"/>
    <x v="1"/>
    <x v="0"/>
    <x v="10"/>
    <s v="high"/>
    <s v="priority"/>
    <s v="normal"/>
    <s v="January"/>
    <n v="1"/>
    <n v="2026"/>
    <m/>
  </r>
  <r>
    <s v="ORD1012"/>
    <x v="11"/>
    <x v="1"/>
    <x v="1"/>
    <x v="0"/>
    <x v="2"/>
    <x v="6"/>
    <n v="3"/>
    <n v="1800"/>
    <x v="2"/>
    <x v="0"/>
    <x v="0"/>
    <x v="11"/>
    <s v="low"/>
    <s v="normal"/>
    <s v="normal"/>
    <s v="January"/>
    <n v="1"/>
    <n v="2026"/>
    <m/>
  </r>
  <r>
    <s v="ORD1013"/>
    <x v="12"/>
    <x v="2"/>
    <x v="2"/>
    <x v="0"/>
    <x v="1"/>
    <x v="2"/>
    <n v="1"/>
    <n v="3500"/>
    <x v="0"/>
    <x v="1"/>
    <x v="0"/>
    <x v="12"/>
    <s v="low"/>
    <s v="normal"/>
    <s v="normal"/>
    <s v="January"/>
    <n v="1"/>
    <n v="2026"/>
    <m/>
  </r>
  <r>
    <s v="ORD1014"/>
    <x v="13"/>
    <x v="3"/>
    <x v="3"/>
    <x v="1"/>
    <x v="0"/>
    <x v="0"/>
    <n v="1"/>
    <n v="55000"/>
    <x v="1"/>
    <x v="0"/>
    <x v="0"/>
    <x v="13"/>
    <s v="high"/>
    <s v="priority"/>
    <s v="normal"/>
    <s v="January"/>
    <n v="1"/>
    <n v="2026"/>
    <m/>
  </r>
  <r>
    <s v="ORD1015"/>
    <x v="14"/>
    <x v="4"/>
    <x v="4"/>
    <x v="2"/>
    <x v="2"/>
    <x v="8"/>
    <n v="2"/>
    <n v="3000"/>
    <x v="0"/>
    <x v="2"/>
    <x v="1"/>
    <x v="8"/>
    <s v="low"/>
    <s v="normal"/>
    <s v="attention"/>
    <s v="January"/>
    <n v="1"/>
    <n v="2026"/>
    <m/>
  </r>
  <r>
    <s v="ORD1016"/>
    <x v="15"/>
    <x v="5"/>
    <x v="5"/>
    <x v="1"/>
    <x v="0"/>
    <x v="7"/>
    <n v="1"/>
    <n v="45000"/>
    <x v="3"/>
    <x v="1"/>
    <x v="0"/>
    <x v="7"/>
    <s v="high"/>
    <s v="priority"/>
    <s v="normal"/>
    <s v="February"/>
    <n v="2"/>
    <n v="2026"/>
    <m/>
  </r>
  <r>
    <s v="ORD1017"/>
    <x v="16"/>
    <x v="6"/>
    <x v="0"/>
    <x v="0"/>
    <x v="1"/>
    <x v="4"/>
    <n v="5"/>
    <n v="1200"/>
    <x v="1"/>
    <x v="0"/>
    <x v="0"/>
    <x v="11"/>
    <s v="low"/>
    <s v="normal"/>
    <s v="normal"/>
    <s v="February"/>
    <n v="2"/>
    <n v="2026"/>
    <m/>
  </r>
  <r>
    <s v="ORD1018"/>
    <x v="17"/>
    <x v="7"/>
    <x v="6"/>
    <x v="3"/>
    <x v="0"/>
    <x v="3"/>
    <n v="2"/>
    <n v="2500"/>
    <x v="0"/>
    <x v="1"/>
    <x v="0"/>
    <x v="14"/>
    <s v="low"/>
    <s v="normal"/>
    <s v="normal"/>
    <s v="February"/>
    <n v="2"/>
    <n v="2026"/>
    <m/>
  </r>
  <r>
    <s v="ORD1019"/>
    <x v="18"/>
    <x v="8"/>
    <x v="1"/>
    <x v="0"/>
    <x v="2"/>
    <x v="6"/>
    <n v="1"/>
    <n v="1800"/>
    <x v="2"/>
    <x v="0"/>
    <x v="2"/>
    <x v="15"/>
    <s v="low"/>
    <s v="normal"/>
    <s v="attention"/>
    <s v="February"/>
    <n v="2"/>
    <n v="2026"/>
    <m/>
  </r>
  <r>
    <s v="ORD1020"/>
    <x v="19"/>
    <x v="9"/>
    <x v="4"/>
    <x v="2"/>
    <x v="1"/>
    <x v="9"/>
    <n v="3"/>
    <n v="2200"/>
    <x v="1"/>
    <x v="2"/>
    <x v="0"/>
    <x v="16"/>
    <s v="low"/>
    <s v="normal"/>
    <s v="normal"/>
    <s v="February"/>
    <n v="2"/>
    <n v="2026"/>
    <m/>
  </r>
  <r>
    <s v="ORD1021"/>
    <x v="20"/>
    <x v="0"/>
    <x v="0"/>
    <x v="0"/>
    <x v="0"/>
    <x v="0"/>
    <n v="1"/>
    <n v="55000"/>
    <x v="0"/>
    <x v="0"/>
    <x v="0"/>
    <x v="0"/>
    <s v="high"/>
    <s v="priority"/>
    <s v="normal"/>
    <s v="February"/>
    <n v="2"/>
    <n v="2026"/>
    <m/>
  </r>
  <r>
    <s v="ORD1022"/>
    <x v="21"/>
    <x v="1"/>
    <x v="1"/>
    <x v="0"/>
    <x v="0"/>
    <x v="1"/>
    <n v="1"/>
    <n v="25000"/>
    <x v="1"/>
    <x v="1"/>
    <x v="0"/>
    <x v="17"/>
    <s v="high"/>
    <s v="priority"/>
    <s v="normal"/>
    <s v="February"/>
    <n v="2"/>
    <n v="2026"/>
    <m/>
  </r>
  <r>
    <s v="ORD1023"/>
    <x v="22"/>
    <x v="2"/>
    <x v="2"/>
    <x v="0"/>
    <x v="1"/>
    <x v="2"/>
    <n v="3"/>
    <n v="3500"/>
    <x v="0"/>
    <x v="0"/>
    <x v="0"/>
    <x v="18"/>
    <s v="low"/>
    <s v="normal"/>
    <s v="normal"/>
    <s v="February"/>
    <n v="2"/>
    <n v="2026"/>
    <m/>
  </r>
  <r>
    <s v="ORD1024"/>
    <x v="23"/>
    <x v="3"/>
    <x v="3"/>
    <x v="1"/>
    <x v="0"/>
    <x v="5"/>
    <n v="2"/>
    <n v="8000"/>
    <x v="0"/>
    <x v="1"/>
    <x v="0"/>
    <x v="19"/>
    <s v="low"/>
    <s v="normal"/>
    <s v="normal"/>
    <s v="February"/>
    <n v="2"/>
    <n v="2026"/>
    <m/>
  </r>
  <r>
    <s v="ORD1025"/>
    <x v="24"/>
    <x v="4"/>
    <x v="4"/>
    <x v="2"/>
    <x v="2"/>
    <x v="8"/>
    <n v="1"/>
    <n v="3000"/>
    <x v="2"/>
    <x v="2"/>
    <x v="0"/>
    <x v="20"/>
    <s v="low"/>
    <s v="normal"/>
    <s v="normal"/>
    <s v="February"/>
    <n v="2"/>
    <n v="2026"/>
    <m/>
  </r>
  <r>
    <s v="ORD1026"/>
    <x v="25"/>
    <x v="5"/>
    <x v="5"/>
    <x v="1"/>
    <x v="0"/>
    <x v="7"/>
    <n v="2"/>
    <n v="45000"/>
    <x v="3"/>
    <x v="0"/>
    <x v="0"/>
    <x v="21"/>
    <s v="high"/>
    <s v="priority"/>
    <s v="normal"/>
    <s v="February"/>
    <n v="2"/>
    <n v="2026"/>
    <m/>
  </r>
  <r>
    <s v="ORD1027"/>
    <x v="26"/>
    <x v="6"/>
    <x v="0"/>
    <x v="0"/>
    <x v="1"/>
    <x v="9"/>
    <n v="2"/>
    <n v="2200"/>
    <x v="1"/>
    <x v="1"/>
    <x v="0"/>
    <x v="9"/>
    <s v="low"/>
    <s v="normal"/>
    <s v="normal"/>
    <s v="February"/>
    <n v="2"/>
    <n v="2026"/>
    <m/>
  </r>
  <r>
    <s v="ORD1028"/>
    <x v="27"/>
    <x v="7"/>
    <x v="6"/>
    <x v="3"/>
    <x v="0"/>
    <x v="3"/>
    <n v="4"/>
    <n v="2500"/>
    <x v="0"/>
    <x v="0"/>
    <x v="0"/>
    <x v="22"/>
    <s v="low"/>
    <s v="normal"/>
    <s v="normal"/>
    <s v="March"/>
    <n v="3"/>
    <n v="2026"/>
    <m/>
  </r>
  <r>
    <s v="ORD1029"/>
    <x v="28"/>
    <x v="8"/>
    <x v="1"/>
    <x v="0"/>
    <x v="2"/>
    <x v="6"/>
    <n v="2"/>
    <n v="1800"/>
    <x v="2"/>
    <x v="0"/>
    <x v="2"/>
    <x v="6"/>
    <s v="low"/>
    <s v="normal"/>
    <s v="attention"/>
    <s v="March"/>
    <n v="3"/>
    <n v="2026"/>
    <m/>
  </r>
  <r>
    <s v="ORD1030"/>
    <x v="29"/>
    <x v="9"/>
    <x v="4"/>
    <x v="2"/>
    <x v="1"/>
    <x v="4"/>
    <n v="3"/>
    <n v="1200"/>
    <x v="1"/>
    <x v="2"/>
    <x v="0"/>
    <x v="23"/>
    <s v="low"/>
    <s v="normal"/>
    <s v="normal"/>
    <s v="March"/>
    <n v="3"/>
    <n v="2026"/>
    <m/>
  </r>
  <r>
    <s v="ORD1031"/>
    <x v="30"/>
    <x v="0"/>
    <x v="0"/>
    <x v="0"/>
    <x v="0"/>
    <x v="1"/>
    <n v="2"/>
    <n v="25000"/>
    <x v="0"/>
    <x v="1"/>
    <x v="0"/>
    <x v="24"/>
    <s v="high"/>
    <s v="priority"/>
    <s v="normal"/>
    <s v="March"/>
    <n v="3"/>
    <n v="2026"/>
    <m/>
  </r>
  <r>
    <s v="ORD1032"/>
    <x v="31"/>
    <x v="1"/>
    <x v="1"/>
    <x v="0"/>
    <x v="2"/>
    <x v="8"/>
    <n v="3"/>
    <n v="3000"/>
    <x v="0"/>
    <x v="0"/>
    <x v="0"/>
    <x v="25"/>
    <s v="low"/>
    <s v="normal"/>
    <s v="normal"/>
    <s v="March"/>
    <n v="3"/>
    <n v="2026"/>
    <m/>
  </r>
  <r>
    <s v="ORD1033"/>
    <x v="32"/>
    <x v="2"/>
    <x v="2"/>
    <x v="0"/>
    <x v="1"/>
    <x v="2"/>
    <n v="2"/>
    <n v="3500"/>
    <x v="0"/>
    <x v="1"/>
    <x v="0"/>
    <x v="2"/>
    <s v="low"/>
    <s v="normal"/>
    <s v="normal"/>
    <s v="March"/>
    <n v="3"/>
    <n v="2026"/>
    <m/>
  </r>
  <r>
    <s v="ORD1034"/>
    <x v="33"/>
    <x v="3"/>
    <x v="3"/>
    <x v="1"/>
    <x v="0"/>
    <x v="0"/>
    <n v="2"/>
    <n v="55000"/>
    <x v="1"/>
    <x v="0"/>
    <x v="0"/>
    <x v="26"/>
    <s v="high"/>
    <s v="priority"/>
    <s v="normal"/>
    <s v="March"/>
    <n v="3"/>
    <n v="2026"/>
    <m/>
  </r>
  <r>
    <s v="ORD1035"/>
    <x v="34"/>
    <x v="4"/>
    <x v="4"/>
    <x v="2"/>
    <x v="2"/>
    <x v="6"/>
    <n v="2"/>
    <n v="1800"/>
    <x v="2"/>
    <x v="2"/>
    <x v="1"/>
    <x v="6"/>
    <s v="low"/>
    <s v="normal"/>
    <s v="attention"/>
    <s v="March"/>
    <n v="3"/>
    <n v="2026"/>
    <m/>
  </r>
  <r>
    <s v="ORD1036"/>
    <x v="35"/>
    <x v="5"/>
    <x v="5"/>
    <x v="1"/>
    <x v="0"/>
    <x v="5"/>
    <n v="1"/>
    <n v="8000"/>
    <x v="0"/>
    <x v="1"/>
    <x v="0"/>
    <x v="5"/>
    <s v="low"/>
    <s v="normal"/>
    <s v="normal"/>
    <s v="March"/>
    <n v="3"/>
    <n v="2026"/>
    <m/>
  </r>
  <r>
    <s v="ORD1037"/>
    <x v="36"/>
    <x v="6"/>
    <x v="0"/>
    <x v="0"/>
    <x v="1"/>
    <x v="4"/>
    <n v="4"/>
    <n v="1200"/>
    <x v="1"/>
    <x v="0"/>
    <x v="0"/>
    <x v="4"/>
    <s v="low"/>
    <s v="normal"/>
    <s v="normal"/>
    <s v="March"/>
    <n v="3"/>
    <n v="2026"/>
    <m/>
  </r>
  <r>
    <s v="ORD1038"/>
    <x v="37"/>
    <x v="7"/>
    <x v="6"/>
    <x v="3"/>
    <x v="0"/>
    <x v="7"/>
    <n v="1"/>
    <n v="45000"/>
    <x v="3"/>
    <x v="1"/>
    <x v="0"/>
    <x v="7"/>
    <s v="high"/>
    <s v="priority"/>
    <s v="normal"/>
    <s v="March"/>
    <n v="3"/>
    <n v="2026"/>
    <m/>
  </r>
  <r>
    <s v="ORD1039"/>
    <x v="38"/>
    <x v="8"/>
    <x v="1"/>
    <x v="0"/>
    <x v="2"/>
    <x v="8"/>
    <n v="2"/>
    <n v="3000"/>
    <x v="0"/>
    <x v="0"/>
    <x v="2"/>
    <x v="8"/>
    <s v="low"/>
    <s v="normal"/>
    <s v="attention"/>
    <s v="March"/>
    <n v="3"/>
    <n v="2026"/>
    <m/>
  </r>
  <r>
    <s v="ORD1040"/>
    <x v="39"/>
    <x v="9"/>
    <x v="4"/>
    <x v="2"/>
    <x v="1"/>
    <x v="9"/>
    <n v="2"/>
    <n v="2200"/>
    <x v="1"/>
    <x v="2"/>
    <x v="0"/>
    <x v="9"/>
    <s v="low"/>
    <s v="normal"/>
    <s v="normal"/>
    <s v="March"/>
    <n v="3"/>
    <n v="202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507BA6-4EDB-493B-9CE5-83342889B173}"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H10:I14"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axis="axisRow" showAll="0">
      <items count="4">
        <item x="0"/>
        <item x="1"/>
        <item x="2"/>
        <item t="default"/>
      </items>
    </pivotField>
    <pivotField showAll="0"/>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items count="28">
        <item x="15"/>
        <item x="20"/>
        <item x="23"/>
        <item x="12"/>
        <item x="6"/>
        <item x="9"/>
        <item x="4"/>
        <item x="14"/>
        <item x="11"/>
        <item x="8"/>
        <item x="16"/>
        <item x="2"/>
        <item x="3"/>
        <item x="5"/>
        <item x="25"/>
        <item x="22"/>
        <item x="18"/>
        <item x="19"/>
        <item x="17"/>
        <item x="10"/>
        <item x="7"/>
        <item x="1"/>
        <item x="24"/>
        <item x="13"/>
        <item x="0"/>
        <item x="21"/>
        <item x="26"/>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Revenue" fld="12" baseField="0" baseItem="0" numFmtId="167"/>
  </dataFields>
  <formats count="1">
    <format dxfId="44">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F208F-2F4B-4024-979C-BF97141348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R16:S20"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0"/>
  </rowFields>
  <rowItems count="4">
    <i>
      <x v="1"/>
    </i>
    <i>
      <x v="2"/>
    </i>
    <i>
      <x v="3"/>
    </i>
    <i t="grand">
      <x/>
    </i>
  </rowItems>
  <colItems count="1">
    <i/>
  </colItems>
  <dataFields count="1">
    <dataField name="Sum of Revenue" fld="12" baseField="0" baseItem="0" numFmtId="167"/>
  </dataFields>
  <formats count="1">
    <format dxfId="4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219EE-5D56-432A-87EA-F73FA6151450}"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scount">
  <location ref="B2:C7"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showAll="0">
      <items count="4">
        <item x="0"/>
        <item x="1"/>
        <item x="2"/>
        <item t="default"/>
      </items>
    </pivotField>
    <pivotField showAll="0"/>
    <pivotField showAll="0"/>
    <pivotField numFmtId="3" showAll="0"/>
    <pivotField axis="axisRow" numFmtId="9" showAll="0">
      <items count="5">
        <item x="2"/>
        <item x="0"/>
        <item x="3"/>
        <item x="1"/>
        <item t="default"/>
      </items>
    </pivotField>
    <pivotField showAll="0">
      <items count="4">
        <item x="1"/>
        <item x="2"/>
        <item x="0"/>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venue" fld="12" baseField="0" baseItem="0" numFmtId="4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88B03F-275B-45EC-B412-BDF2BBBE4DE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H2:I6"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items count="28">
        <item h="1" x="15"/>
        <item h="1" x="20"/>
        <item x="23"/>
        <item h="1" x="12"/>
        <item h="1" x="6"/>
        <item h="1" x="9"/>
        <item h="1" x="4"/>
        <item h="1" x="14"/>
        <item h="1" x="11"/>
        <item h="1" x="8"/>
        <item h="1" x="16"/>
        <item h="1" x="2"/>
        <item h="1" x="3"/>
        <item h="1" x="5"/>
        <item h="1" x="25"/>
        <item h="1" x="22"/>
        <item h="1" x="18"/>
        <item h="1" x="19"/>
        <item h="1" x="17"/>
        <item h="1" x="10"/>
        <item h="1" x="7"/>
        <item h="1" x="1"/>
        <item h="1" x="24"/>
        <item h="1" x="13"/>
        <item h="1" x="0"/>
        <item h="1" x="21"/>
        <item h="1" x="26"/>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4">
    <i>
      <x v="2"/>
    </i>
    <i>
      <x/>
    </i>
    <i>
      <x v="1"/>
    </i>
    <i t="grand">
      <x/>
    </i>
  </rowItems>
  <colItems count="1">
    <i/>
  </colItems>
  <dataFields count="1">
    <dataField name="Sum of Revenue" fld="12" baseField="0" baseItem="0" numFmtId="44"/>
  </dataFields>
  <formats count="1">
    <format dxfId="47">
      <pivotArea outline="0" collapsedLevelsAreSubtotals="1"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6101EC-FE3E-4395-97FC-BAB7FBC3682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E2:F7"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axis="axisRow"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items count="28">
        <item x="15"/>
        <item x="20"/>
        <item x="23"/>
        <item x="12"/>
        <item x="6"/>
        <item x="9"/>
        <item x="4"/>
        <item x="14"/>
        <item x="11"/>
        <item x="8"/>
        <item x="16"/>
        <item x="2"/>
        <item x="3"/>
        <item x="5"/>
        <item x="25"/>
        <item x="22"/>
        <item x="18"/>
        <item x="19"/>
        <item x="17"/>
        <item x="10"/>
        <item x="7"/>
        <item x="1"/>
        <item x="24"/>
        <item x="13"/>
        <item x="0"/>
        <item x="21"/>
        <item x="26"/>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12" baseField="0" baseItem="0" numFmtId="44"/>
  </dataFields>
  <formats count="2">
    <format dxfId="49">
      <pivotArea outline="0" collapsedLevelsAreSubtotals="1" fieldPosition="0"/>
    </format>
    <format dxfId="48">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C7DEE2-E8B7-4CFB-9043-062B8CB930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0:L54" firstHeaderRow="1" firstDataRow="1" firstDataCol="1"/>
  <pivotFields count="21">
    <pivotField showAll="0"/>
    <pivotField axis="axisRow"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2">
    <field x="20"/>
    <field x="1"/>
  </rowFields>
  <rowItems count="44">
    <i>
      <x v="1"/>
    </i>
    <i r="1">
      <x/>
    </i>
    <i r="1">
      <x v="1"/>
    </i>
    <i r="1">
      <x v="2"/>
    </i>
    <i r="1">
      <x v="3"/>
    </i>
    <i r="1">
      <x v="4"/>
    </i>
    <i r="1">
      <x v="5"/>
    </i>
    <i r="1">
      <x v="6"/>
    </i>
    <i r="1">
      <x v="7"/>
    </i>
    <i r="1">
      <x v="8"/>
    </i>
    <i r="1">
      <x v="9"/>
    </i>
    <i r="1">
      <x v="10"/>
    </i>
    <i r="1">
      <x v="11"/>
    </i>
    <i r="1">
      <x v="12"/>
    </i>
    <i r="1">
      <x v="13"/>
    </i>
    <i r="1">
      <x v="14"/>
    </i>
    <i>
      <x v="2"/>
    </i>
    <i r="1">
      <x v="15"/>
    </i>
    <i r="1">
      <x v="16"/>
    </i>
    <i r="1">
      <x v="17"/>
    </i>
    <i r="1">
      <x v="18"/>
    </i>
    <i r="1">
      <x v="19"/>
    </i>
    <i r="1">
      <x v="20"/>
    </i>
    <i r="1">
      <x v="21"/>
    </i>
    <i r="1">
      <x v="22"/>
    </i>
    <i r="1">
      <x v="23"/>
    </i>
    <i r="1">
      <x v="24"/>
    </i>
    <i r="1">
      <x v="25"/>
    </i>
    <i r="1">
      <x v="26"/>
    </i>
    <i>
      <x v="3"/>
    </i>
    <i r="1">
      <x v="27"/>
    </i>
    <i r="1">
      <x v="28"/>
    </i>
    <i r="1">
      <x v="29"/>
    </i>
    <i r="1">
      <x v="30"/>
    </i>
    <i r="1">
      <x v="31"/>
    </i>
    <i r="1">
      <x v="32"/>
    </i>
    <i r="1">
      <x v="33"/>
    </i>
    <i r="1">
      <x v="34"/>
    </i>
    <i r="1">
      <x v="35"/>
    </i>
    <i r="1">
      <x v="36"/>
    </i>
    <i r="1">
      <x v="37"/>
    </i>
    <i r="1">
      <x v="38"/>
    </i>
    <i r="1">
      <x v="39"/>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190CF7-ED9A-48A8-A473-758C6D0FA2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K2:L6"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axis="axisRow" showAll="0">
      <items count="4">
        <item x="0"/>
        <item x="1"/>
        <item x="2"/>
        <item t="default"/>
      </items>
    </pivotField>
    <pivotField showAll="0"/>
    <pivotField showAll="0"/>
    <pivotField numFmtId="3" showAll="0"/>
    <pivotField dataField="1" numFmtId="9" showAll="0"/>
    <pivotField showAll="0">
      <items count="4">
        <item x="1"/>
        <item x="2"/>
        <item x="0"/>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Average of Discount" fld="9" subtotal="average" baseField="0" baseItem="0" numFmtId="9"/>
  </dataFields>
  <formats count="2">
    <format dxfId="51">
      <pivotArea field="5" type="button" dataOnly="0" labelOnly="1" outline="0" axis="axisRow"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4D227D-6F24-4B44-A30A-A4885FC39E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3 products">
  <location ref="B10:C14"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showAll="0">
      <items count="4">
        <item x="0"/>
        <item x="1"/>
        <item x="2"/>
        <item t="default"/>
      </items>
    </pivotField>
    <pivotField axis="axisRow" showAll="0">
      <items count="11">
        <item h="1" x="6"/>
        <item x="7"/>
        <item h="1" x="3"/>
        <item h="1" x="9"/>
        <item h="1" x="8"/>
        <item x="0"/>
        <item h="1" x="2"/>
        <item x="1"/>
        <item h="1" x="4"/>
        <item h="1" x="5"/>
        <item t="default"/>
      </items>
    </pivotField>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4">
    <i>
      <x v="1"/>
    </i>
    <i>
      <x v="5"/>
    </i>
    <i>
      <x v="7"/>
    </i>
    <i t="grand">
      <x/>
    </i>
  </rowItems>
  <colItems count="1">
    <i/>
  </colItems>
  <dataFields count="1">
    <dataField name="Sum of Revenue" fld="12" baseField="0" baseItem="0" numFmtId="167"/>
  </dataFields>
  <formats count="13">
    <format dxfId="64">
      <pivotArea outline="0" collapsedLevelsAreSubtotals="1" fieldPosition="0"/>
    </format>
    <format dxfId="63">
      <pivotArea type="all" dataOnly="0" outline="0" fieldPosition="0"/>
    </format>
    <format dxfId="62">
      <pivotArea outline="0" collapsedLevelsAreSubtotals="1"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6" type="button" dataOnly="0" labelOnly="1" outline="0" axis="axisRow" fieldPosition="0"/>
    </format>
    <format dxfId="54">
      <pivotArea dataOnly="0" labelOnly="1" fieldPosition="0">
        <references count="1">
          <reference field="6" count="0"/>
        </references>
      </pivotArea>
    </format>
    <format dxfId="53">
      <pivotArea dataOnly="0" labelOnly="1" grandRow="1" outline="0" fieldPosition="0"/>
    </format>
    <format dxfId="52">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E2EF1B-D1CA-496C-AA09-1537E2EB52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Customers">
  <location ref="T19:U25"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measureFilter="1" sortType="descending">
      <items count="11">
        <item x="0"/>
        <item x="6"/>
        <item x="3"/>
        <item x="7"/>
        <item x="5"/>
        <item x="9"/>
        <item x="2"/>
        <item x="1"/>
        <item x="8"/>
        <item x="4"/>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6">
    <i>
      <x/>
    </i>
    <i>
      <x v="2"/>
    </i>
    <i>
      <x v="4"/>
    </i>
    <i>
      <x v="3"/>
    </i>
    <i>
      <x v="7"/>
    </i>
    <i t="grand">
      <x/>
    </i>
  </rowItems>
  <colItems count="1">
    <i/>
  </colItems>
  <dataFields count="1">
    <dataField name="Sum of Revenue" fld="12" baseField="0" baseItem="0" numFmtId="44"/>
  </dataFields>
  <formats count="1">
    <format dxfId="65">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A58554-8C9A-4C0C-A9E0-5C463B568A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rder Status">
  <location ref="E10:F14" firstHeaderRow="1" firstDataRow="1" firstDataCol="1"/>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showAll="0">
      <items count="4">
        <item x="1"/>
        <item x="2"/>
        <item x="0"/>
        <item t="default"/>
      </items>
    </pivotField>
    <pivotField axis="axisRow" showAll="0">
      <items count="4">
        <item x="1"/>
        <item x="0"/>
        <item x="2"/>
        <item t="default"/>
      </items>
    </pivotField>
    <pivotField dataField="1" showAll="0">
      <items count="28">
        <item x="15"/>
        <item x="20"/>
        <item x="23"/>
        <item x="12"/>
        <item x="6"/>
        <item x="9"/>
        <item x="4"/>
        <item x="14"/>
        <item x="11"/>
        <item x="8"/>
        <item x="16"/>
        <item x="2"/>
        <item x="3"/>
        <item x="5"/>
        <item x="25"/>
        <item x="22"/>
        <item x="18"/>
        <item x="19"/>
        <item x="17"/>
        <item x="10"/>
        <item x="7"/>
        <item x="1"/>
        <item x="24"/>
        <item x="13"/>
        <item x="0"/>
        <item x="21"/>
        <item x="26"/>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Sum of Revenue" fld="12" baseField="0" baseItem="0" numFmtId="167"/>
  </dataFields>
  <formats count="1">
    <format dxfId="66">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61C068-547C-41D6-AF7E-7002BC419812}" name="PivotTable3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ities">
  <location ref="T13" firstHeaderRow="0" firstDataRow="0" firstDataCol="0"/>
  <pivotFields count="21">
    <pivotField showAll="0"/>
    <pivotField numFmtId="16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Row" showAll="0" sortType="descending">
      <items count="8">
        <item x="1"/>
        <item x="0"/>
        <item x="4"/>
        <item x="2"/>
        <item x="6"/>
        <item x="3"/>
        <item x="5"/>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items count="4">
        <item x="0"/>
        <item x="1"/>
        <item x="2"/>
        <item t="default"/>
      </items>
    </pivotField>
    <pivotField showAll="0"/>
    <pivotField showAll="0"/>
    <pivotField numFmtId="3" showAll="0"/>
    <pivotField numFmtId="9" showAll="0"/>
    <pivotField showAll="0">
      <items count="4">
        <item x="1"/>
        <item x="2"/>
        <item x="0"/>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v="1"/>
    </i>
    <i>
      <x v="5"/>
    </i>
    <i>
      <x v="6"/>
    </i>
    <i>
      <x/>
    </i>
    <i>
      <x v="4"/>
    </i>
    <i>
      <x v="2"/>
    </i>
    <i>
      <x v="3"/>
    </i>
    <i t="grand">
      <x/>
    </i>
  </rowItems>
  <colItems count="1">
    <i/>
  </colItems>
  <dataFields count="1">
    <dataField name="Sum of Revenue" fld="12" baseField="0" baseItem="0" numFmtId="44"/>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59B10E-2FE5-4B6E-BD91-EF5C183ED470}" autoFormatId="16" applyNumberFormats="0" applyBorderFormats="0" applyFontFormats="0" applyPatternFormats="0" applyAlignmentFormats="0" applyWidthHeightFormats="0">
  <queryTableRefresh nextId="21">
    <queryTableFields count="20">
      <queryTableField id="1" name="Order_ID" tableColumnId="1"/>
      <queryTableField id="2" name="Order_Date" tableColumnId="2"/>
      <queryTableField id="3" name="Customer" tableColumnId="3"/>
      <queryTableField id="4" name="City" tableColumnId="4"/>
      <queryTableField id="5" name="Region" tableColumnId="5"/>
      <queryTableField id="6" name="Category" tableColumnId="6"/>
      <queryTableField id="7" name="Product" tableColumnId="7"/>
      <queryTableField id="8" name="Quantity" tableColumnId="8"/>
      <queryTableField id="9" name="Unit_Price" tableColumnId="9"/>
      <queryTableField id="10" name="Discount" tableColumnId="10"/>
      <queryTableField id="11" name="Payment_Method" tableColumnId="11"/>
      <queryTableField id="12" name="Order_Status" tableColumnId="12"/>
      <queryTableField id="13" name="Revenue" tableColumnId="13"/>
      <queryTableField id="14" name="high or low" tableColumnId="14"/>
      <queryTableField id="15" name="P or N" tableColumnId="15"/>
      <queryTableField id="16" name="A or N" tableColumnId="16"/>
      <queryTableField id="17" name="Month" tableColumnId="17"/>
      <queryTableField id="18" name="Month_number" tableColumnId="18"/>
      <queryTableField id="19" name="year" tableColumnId="19"/>
      <queryTableField id="20" name="gross_sales" tableColumnId="2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8572F0C0-2281-4B3E-9372-D4A9AAE1BF02}" sourceName="Category">
  <pivotTables>
    <pivotTable tabId="19" name="PivotTable33"/>
    <pivotTable tabId="19" name="PivotTable1"/>
    <pivotTable tabId="19" name="PivotTable10"/>
    <pivotTable tabId="19" name="PivotTable11"/>
    <pivotTable tabId="19" name="PivotTable12"/>
    <pivotTable tabId="19" name="PivotTable30"/>
    <pivotTable tabId="19" name="PivotTable32"/>
    <pivotTable tabId="19" name="PivotTable7"/>
    <pivotTable tabId="19" name="PivotTable8"/>
    <pivotTable tabId="19" name="PivotTable9"/>
    <pivotTable tabId="19" name="PivotTable2"/>
  </pivotTables>
  <data>
    <tabular pivotCacheId="7070500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194763-7C15-4327-A7D6-AD981261D06D}" sourceName="Region">
  <pivotTables>
    <pivotTable tabId="19" name="PivotTable8"/>
    <pivotTable tabId="19" name="PivotTable1"/>
    <pivotTable tabId="19" name="PivotTable10"/>
    <pivotTable tabId="19" name="PivotTable11"/>
    <pivotTable tabId="19" name="PivotTable12"/>
    <pivotTable tabId="19" name="PivotTable30"/>
    <pivotTable tabId="19" name="PivotTable32"/>
    <pivotTable tabId="19" name="PivotTable33"/>
    <pivotTable tabId="19" name="PivotTable7"/>
    <pivotTable tabId="19" name="PivotTable9"/>
    <pivotTable tabId="19" name="PivotTable2"/>
  </pivotTables>
  <data>
    <tabular pivotCacheId="707050031">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0003619-8532-4B57-8951-D99BC088554D}" sourceName="Payment_Method">
  <pivotTables>
    <pivotTable tabId="19" name="PivotTable11"/>
    <pivotTable tabId="19" name="PivotTable1"/>
    <pivotTable tabId="19" name="PivotTable10"/>
    <pivotTable tabId="19" name="PivotTable12"/>
    <pivotTable tabId="19" name="PivotTable30"/>
    <pivotTable tabId="19" name="PivotTable32"/>
    <pivotTable tabId="19" name="PivotTable33"/>
    <pivotTable tabId="19" name="PivotTable7"/>
    <pivotTable tabId="19" name="PivotTable8"/>
    <pivotTable tabId="19" name="PivotTable9"/>
    <pivotTable tabId="19" name="PivotTable2"/>
  </pivotTables>
  <data>
    <tabular pivotCacheId="70705003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E00AA92-9339-4D89-9CAE-0CCAF8D83F84}" sourceName="Order_Status">
  <pivotTables>
    <pivotTable tabId="19" name="PivotTable7"/>
    <pivotTable tabId="19" name="PivotTable1"/>
    <pivotTable tabId="19" name="PivotTable10"/>
    <pivotTable tabId="19" name="PivotTable11"/>
    <pivotTable tabId="19" name="PivotTable12"/>
    <pivotTable tabId="19" name="PivotTable30"/>
    <pivotTable tabId="19" name="PivotTable32"/>
    <pivotTable tabId="19" name="PivotTable33"/>
    <pivotTable tabId="19" name="PivotTable8"/>
    <pivotTable tabId="19" name="PivotTable9"/>
    <pivotTable tabId="19" name="PivotTable2"/>
  </pivotTables>
  <data>
    <tabular pivotCacheId="7070500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71F61C2-BFB0-4906-BF03-B795F9AC8657}" cache="Slicer_Category2" caption="Category" rowHeight="234950"/>
  <slicer name="Region" xr10:uid="{20A7B529-A24E-425B-92F1-EF501F000DC4}" cache="Slicer_Region" caption="Region" rowHeight="234950"/>
  <slicer name="Payment_Method" xr10:uid="{87616D61-D08A-4ED4-B4E6-6112162BF759}" cache="Slicer_Payment_Method" caption="Payment_Method" rowHeight="234950"/>
  <slicer name="Order_Status" xr10:uid="{2F73A469-E116-4ACD-9465-43F2259B47BE}" cache="Slicer_Order_Status" caption="Order_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DF02C9-A3BE-4DB8-9F8A-52420AF84E3E}" name="Table2__3" displayName="Table2__3" ref="A1:T34" tableType="queryTable" totalsRowShown="0">
  <autoFilter ref="A1:T34" xr:uid="{45DF02C9-A3BE-4DB8-9F8A-52420AF84E3E}"/>
  <tableColumns count="20">
    <tableColumn id="1" xr3:uid="{3B70372D-7735-44DA-BE39-342B62296708}" uniqueName="1" name="Order_ID" queryTableFieldId="1" dataDxfId="43"/>
    <tableColumn id="2" xr3:uid="{36EA9901-6334-4603-A7E2-892D1B0F8A61}" uniqueName="2" name="Order_Date" queryTableFieldId="2" dataDxfId="42"/>
    <tableColumn id="3" xr3:uid="{41C3BD93-3B1F-480D-A97D-8305DC42AC2F}" uniqueName="3" name="Customer" queryTableFieldId="3" dataDxfId="41"/>
    <tableColumn id="4" xr3:uid="{A9F86539-FCD7-45F3-95FC-8234C1BEF24B}" uniqueName="4" name="City" queryTableFieldId="4" dataDxfId="40"/>
    <tableColumn id="5" xr3:uid="{D89BC991-01CA-4918-B0BB-FFA262C69F1D}" uniqueName="5" name="Region" queryTableFieldId="5" dataDxfId="39"/>
    <tableColumn id="6" xr3:uid="{EA9DED2D-53AF-4FD7-85A2-A4A28AEE952B}" uniqueName="6" name="Category" queryTableFieldId="6" dataDxfId="38"/>
    <tableColumn id="7" xr3:uid="{77D9F263-AC1E-431B-A037-5E85C8A8357E}" uniqueName="7" name="Product" queryTableFieldId="7" dataDxfId="37"/>
    <tableColumn id="8" xr3:uid="{2D5EE38C-D54E-4BAA-8F59-BA8639177F83}" uniqueName="8" name="Quantity" queryTableFieldId="8"/>
    <tableColumn id="9" xr3:uid="{41A6879C-B295-4343-B3F3-C54324604C80}" uniqueName="9" name="Unit_Price" queryTableFieldId="9"/>
    <tableColumn id="10" xr3:uid="{C8D11C04-BA35-442C-908B-0E6D60DCB3E4}" uniqueName="10" name="Discount" queryTableFieldId="10"/>
    <tableColumn id="11" xr3:uid="{9DDFBB83-C79B-439D-96E8-59E01D7EC74F}" uniqueName="11" name="Payment_Method" queryTableFieldId="11" dataDxfId="36"/>
    <tableColumn id="12" xr3:uid="{5C921BB6-59D8-4831-B6E4-D6156F943B81}" uniqueName="12" name="Order_Status" queryTableFieldId="12" dataDxfId="35"/>
    <tableColumn id="13" xr3:uid="{6FE634A2-B855-4205-943B-02D4D7A8FF7C}" uniqueName="13" name="Revenue" queryTableFieldId="13"/>
    <tableColumn id="14" xr3:uid="{33A62324-125A-4CB1-98A0-B5D122DAD2F7}" uniqueName="14" name="high or low" queryTableFieldId="14" dataDxfId="34"/>
    <tableColumn id="15" xr3:uid="{47453A3E-1BD0-40FE-BB03-A88946C28A12}" uniqueName="15" name="P or N" queryTableFieldId="15" dataDxfId="33"/>
    <tableColumn id="16" xr3:uid="{2A83647E-A175-468D-8E6B-6806B2DC378B}" uniqueName="16" name="A or N" queryTableFieldId="16" dataDxfId="32"/>
    <tableColumn id="17" xr3:uid="{5CD006A8-FF49-499A-867A-6B9748520447}" uniqueName="17" name="Month" queryTableFieldId="17" dataDxfId="31"/>
    <tableColumn id="18" xr3:uid="{180274B5-3DA3-413D-AB27-FD0C69207A74}" uniqueName="18" name="Month_number" queryTableFieldId="18"/>
    <tableColumn id="19" xr3:uid="{57C41C54-0046-41CF-A307-91830A3E12B3}" uniqueName="19" name="year" queryTableFieldId="19"/>
    <tableColumn id="20" xr3:uid="{1186E4CC-D4E9-4E86-A9CB-74E887056D3C}" uniqueName="20" name="gross_sales" queryTableFieldId="20"/>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697CBD-1E7C-4912-8F82-1C05F1EB4017}" name="Table2" displayName="Table2" ref="A1:S41" totalsRowShown="0" headerRowDxfId="74" headerRowBorderDxfId="73" tableBorderDxfId="72">
  <autoFilter ref="A1:S41" xr:uid="{00000000-0009-0000-0000-000000000000}"/>
  <tableColumns count="19">
    <tableColumn id="1" xr3:uid="{21ACDA10-3CEC-4D2E-99CA-BC088EA1D410}" name="Order_ID"/>
    <tableColumn id="2" xr3:uid="{4FA40019-2CD7-4609-919A-BD8A881B6839}" name="Order_Date" dataDxfId="71"/>
    <tableColumn id="3" xr3:uid="{64CF8F3C-F0B6-4010-A986-98B0A6234AB1}" name="Customer"/>
    <tableColumn id="4" xr3:uid="{DCC8157B-F73B-4B8E-BBE6-F8539DD4FD70}" name="City"/>
    <tableColumn id="5" xr3:uid="{29337BAC-5728-47E1-9E46-01E1BDD65886}" name="Region"/>
    <tableColumn id="6" xr3:uid="{95E3C210-E7A8-493B-9522-CA30C6C37824}" name="Category"/>
    <tableColumn id="7" xr3:uid="{9D922C93-FC6E-40AE-B5B9-E6D345C05953}" name="Product"/>
    <tableColumn id="8" xr3:uid="{D88B2ED0-FF6E-43DC-AD78-21F4C5120786}" name="Quantity"/>
    <tableColumn id="9" xr3:uid="{29458812-A116-4A12-ADC6-8730CA266CB0}" name="Unit_Price" dataDxfId="70"/>
    <tableColumn id="10" xr3:uid="{ECC14A7A-D4E6-4E45-940A-6C9DD56AC494}" name="Discount" dataDxfId="69"/>
    <tableColumn id="11" xr3:uid="{A682FCE0-D11E-432E-B247-E1AD6B69469F}" name="Payment_Method"/>
    <tableColumn id="12" xr3:uid="{882AF4E6-5953-4F24-8D3B-E644C9630750}" name="Order_Status"/>
    <tableColumn id="13" xr3:uid="{C9667FE7-7B7B-41FE-A1CD-8E444D8F9425}" name="Revenue" dataDxfId="68">
      <calculatedColumnFormula>H2*I2*(1-J2)</calculatedColumnFormula>
    </tableColumn>
    <tableColumn id="14" xr3:uid="{E382228B-D887-4BF3-B7FC-444DE7016FAA}" name="high or low">
      <calculatedColumnFormula>IF(M2&gt;=20000,"high","low")</calculatedColumnFormula>
    </tableColumn>
    <tableColumn id="15" xr3:uid="{BBBBC4F0-05A0-4DCE-9F6E-259C1EED53E8}" name="P or N">
      <calculatedColumnFormula>IF(AND(M2&gt;=20000,L2="delivered"),"priority","normal")</calculatedColumnFormula>
    </tableColumn>
    <tableColumn id="16" xr3:uid="{1A8ADCAB-82DA-4C38-9E8C-24385EC03CDA}" name="A or N">
      <calculatedColumnFormula>IF(OR(L2="cancelled",L2="pending"),"attention","normal")</calculatedColumnFormula>
    </tableColumn>
    <tableColumn id="17" xr3:uid="{DF1A787E-C522-42C1-AFC4-2896853B20C1}" name="Month">
      <calculatedColumnFormula>TEXT(B2,"mmmm")</calculatedColumnFormula>
    </tableColumn>
    <tableColumn id="18" xr3:uid="{26728E6D-666D-4F4A-9F2A-B18529E7B01D}" name="Month_number">
      <calculatedColumnFormula>MONTH(B2)</calculatedColumnFormula>
    </tableColumn>
    <tableColumn id="19" xr3:uid="{7B5A4E0D-A4D8-479E-ADBD-5F06C09ABC6B}" name="year">
      <calculatedColumnFormula>YEAR(B2)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0B947A-3AB6-4C1E-8079-4E95FFEBFF5A}" name="Table3" displayName="Table3" ref="A10:K13" totalsRowShown="0" headerRowDxfId="30" dataDxfId="29">
  <autoFilter ref="A10:K13" xr:uid="{2B0B947A-3AB6-4C1E-8079-4E95FFEBFF5A}"/>
  <tableColumns count="11">
    <tableColumn id="1" xr3:uid="{49558343-F279-4871-AF92-C929BE4DC756}" name="category" dataDxfId="28"/>
    <tableColumn id="2" xr3:uid="{F59AFB6D-4DFD-4ECF-8AEC-6CD485C3965D}" name="revenue" dataDxfId="27"/>
    <tableColumn id="3" xr3:uid="{A1A278CC-BB67-4C4F-9B2E-5D89D89BC4BC}" name="number of orders" dataDxfId="26">
      <calculatedColumnFormula>COUNTIF(Orders!F2:F41,"Electronics")</calculatedColumnFormula>
    </tableColumn>
    <tableColumn id="5" xr3:uid="{2F9C3B2C-31AD-4D01-A2A3-DFE5BBF67C59}" name="south revenue" dataDxfId="25">
      <calculatedColumnFormula>SUMIFS(Orders!M2:M41,Orders!F2:F41,"electronics",Orders!E2:E41,"south")</calculatedColumnFormula>
    </tableColumn>
    <tableColumn id="6" xr3:uid="{85F636A7-A510-4CDC-8C0E-D6B4710A4A3E}" name="north revenue" dataDxfId="24">
      <calculatedColumnFormula>SUMIFS(Orders!M2:M41,Orders!F2:F41,"Electronics",Orders!E2:E41,"north")</calculatedColumnFormula>
    </tableColumn>
    <tableColumn id="7" xr3:uid="{ADF60513-77FF-4442-AAB8-63C834D535CE}" name="average revenue" dataDxfId="23">
      <calculatedColumnFormula>AVERAGEIF(Orders!F2:F41,"electronics",Orders!M2:M41)</calculatedColumnFormula>
    </tableColumn>
    <tableColumn id="8" xr3:uid="{B151D477-9180-441A-BD2E-E2B3E96D1C7B}" name="south count" dataDxfId="22">
      <calculatedColumnFormula>COUNTIFS(Orders!F2:F41,"electronics",Orders!E2:E41,"south")</calculatedColumnFormula>
    </tableColumn>
    <tableColumn id="9" xr3:uid="{33602FFD-C263-4182-B34D-39CC8CB9E690}" name="city orders" dataDxfId="21">
      <calculatedColumnFormula>COUNTIFS(Orders!D2:D41,"chennai",Orders!L2:L41,"delivered")</calculatedColumnFormula>
    </tableColumn>
    <tableColumn id="10" xr3:uid="{62ECE22F-D2FF-4BAC-B5A9-10FB39194C2F}" name="city orders2" dataDxfId="20"/>
    <tableColumn id="11" xr3:uid="{D36BF385-69B1-44F4-99F6-FBE6111D52F5}" name="conditions" dataDxfId="19"/>
    <tableColumn id="13" xr3:uid="{83B5E2C7-3694-4597-A082-076F02CA7638}" name="priority or normal" dataDxfId="1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13AE28-4C8C-48AD-B512-D804810F37E0}" name="Table7" displayName="Table7" ref="M1:N4" totalsRowShown="0" headerRowDxfId="17" dataDxfId="16">
  <autoFilter ref="M1:N4" xr:uid="{5313AE28-4C8C-48AD-B512-D804810F37E0}"/>
  <tableColumns count="2">
    <tableColumn id="1" xr3:uid="{B4D37730-ED0A-4453-9CEA-1661FCA81EC3}" name="month" dataDxfId="15"/>
    <tableColumn id="2" xr3:uid="{A9581A22-94AB-4683-B969-7DF260F38DBB}" name="revenue" dataDxfId="14">
      <calculatedColumnFormula>SUMIF(Orders!Q2:Q41,"january",Orders!M2:M51)</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F96936-4861-4E92-B6AC-4DEEDFEFA05E}" name="Table8" displayName="Table8" ref="P1:T3" totalsRowShown="0" headerRowDxfId="13" dataDxfId="12">
  <autoFilter ref="P1:T3" xr:uid="{55F96936-4861-4E92-B6AC-4DEEDFEFA05E}"/>
  <tableColumns count="5">
    <tableColumn id="1" xr3:uid="{296DE09F-F953-4AF3-ADE9-8C5BA6DDC9C7}" name="order_id" dataDxfId="11"/>
    <tableColumn id="2" xr3:uid="{70E356FC-40A5-4D6C-BDBF-1B3CF12611F4}" name="customer" dataDxfId="10">
      <calculatedColumnFormula>_xlfn.XLOOKUP("ord1005",Orders!A2:A41,Orders!C2:C41)</calculatedColumnFormula>
    </tableColumn>
    <tableColumn id="3" xr3:uid="{7C0E04F4-DC3A-4CCB-9720-3255E8557348}" name="revenue" dataDxfId="9">
      <calculatedColumnFormula>_xlfn.XLOOKUP("ord1005",Orders!A2:A41,Orders!M2:M41)</calculatedColumnFormula>
    </tableColumn>
    <tableColumn id="4" xr3:uid="{10B2A063-FED5-4B41-9088-EEC6A72D876C}" name="product" dataDxfId="8">
      <calculatedColumnFormula>_xlfn.XLOOKUP("ord1005",Orders!A2:A41,Orders!G2:G41)</calculatedColumnFormula>
    </tableColumn>
    <tableColumn id="5" xr3:uid="{426C38D9-5705-4626-A544-38582A9E2ED8}" name="city" dataDxfId="7">
      <calculatedColumnFormula>_xlfn.XLOOKUP("ord1005",Orders!A2:A41,Orders!D2:D41)</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73FF7E-E45B-4AE4-8C95-3D38A98852CC}" name="Table9" displayName="Table9" ref="P5:R6" totalsRowShown="0" headerRowDxfId="6" dataDxfId="5">
  <autoFilter ref="P5:R6" xr:uid="{DC73FF7E-E45B-4AE4-8C95-3D38A98852CC}"/>
  <tableColumns count="3">
    <tableColumn id="1" xr3:uid="{3E3F024D-E4FD-4AA4-A1D8-B0AEC10C7932}" name="order_id" dataDxfId="4"/>
    <tableColumn id="2" xr3:uid="{8C511531-EDD2-4D96-9996-17750000B3CD}" name="customer" dataDxfId="3">
      <calculatedColumnFormula>INDEX(Orders!C2:C41,MATCH("ord1015",Orders!A2:A41,0))</calculatedColumnFormula>
    </tableColumn>
    <tableColumn id="3" xr3:uid="{8957DD62-81A8-4BAB-9AFB-1464AADEA51C}" name="revenue" dataDxfId="2">
      <calculatedColumnFormula>INDEX(Orders!M2:M41,MATCH("ord1015",Orders!A2:A41,0))</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8741E3-21A5-4409-8C31-82DE7538A068}" name="Table4" displayName="Table4" ref="A3:S43" totalsRowShown="0">
  <autoFilter ref="A3:S43" xr:uid="{528741E3-21A5-4409-8C31-82DE7538A068}"/>
  <tableColumns count="19">
    <tableColumn id="1" xr3:uid="{5D3F3B08-3085-4B2E-8BA0-7DB30AF80094}" name="Order_ID"/>
    <tableColumn id="2" xr3:uid="{0B3CF82C-0F29-4007-B86A-B842B1A47703}" name="Order_Date" dataDxfId="1"/>
    <tableColumn id="3" xr3:uid="{097F33A7-16FC-4015-9F4D-9A3179C7ED61}" name="Customer"/>
    <tableColumn id="4" xr3:uid="{F94BEB42-D806-44B1-BAF3-125BBBA17C8D}" name="City"/>
    <tableColumn id="5" xr3:uid="{C61C390B-CD71-4B0A-8FE9-6CF69621F853}" name="Region"/>
    <tableColumn id="6" xr3:uid="{0F60D931-7BD2-4196-A236-0963B83F3F34}" name="Category"/>
    <tableColumn id="7" xr3:uid="{367FD14E-3D23-467B-B6B5-0CCC078AA90E}" name="Product"/>
    <tableColumn id="8" xr3:uid="{F97C2439-757C-4BC6-A4EB-C9EFC31F44B2}" name="Quantity"/>
    <tableColumn id="9" xr3:uid="{749E33E5-BADD-45A8-913B-336C8FC084A7}" name="Unit_Price"/>
    <tableColumn id="10" xr3:uid="{5EC60D5E-3B49-4DE7-A815-26213ECA7AFC}" name="Discount"/>
    <tableColumn id="11" xr3:uid="{0C1DF8B6-A530-4EAF-A130-F613DE5C753A}" name="Payment_Method"/>
    <tableColumn id="12" xr3:uid="{B560ACBD-196B-49BD-9742-C812B06BCD20}" name="Order_Status"/>
    <tableColumn id="13" xr3:uid="{99801CE5-53E5-4ECF-9BAC-544ECE773673}" name="Revenue"/>
    <tableColumn id="14" xr3:uid="{9BE346C3-13C0-4097-BC03-2135AE213E59}" name="high or low"/>
    <tableColumn id="15" xr3:uid="{83DE1C81-26D9-4574-B82A-A62CAA40B2A1}" name="P or N"/>
    <tableColumn id="16" xr3:uid="{314539DA-A84E-4325-A38D-68B2AFC9DEC7}" name="A or N"/>
    <tableColumn id="17" xr3:uid="{4BAFC4B0-CAF7-4E56-89D8-8CF6032D52AB}" name="Month"/>
    <tableColumn id="18" xr3:uid="{3D432F4A-6CE1-4595-9D38-B5937ABB2B4F}" name="Month_number"/>
    <tableColumn id="19" xr3:uid="{86493F02-1FBB-410A-9293-654E285E2225}"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AC0F-9BC1-4FE5-830D-38E1B5259FDC}">
  <dimension ref="A1"/>
  <sheetViews>
    <sheetView zoomScale="109" workbookViewId="0">
      <selection activeCell="D23" sqref="D23"/>
    </sheetView>
  </sheetViews>
  <sheetFormatPr defaultRowHeight="14.4" x14ac:dyDescent="0.3"/>
  <cols>
    <col min="1" max="1" width="12.5546875" bestFit="1" customWidth="1"/>
    <col min="2" max="2" width="14.88671875" bestFit="1" customWidth="1"/>
    <col min="3" max="3" width="14.44140625" bestFit="1" customWidth="1"/>
    <col min="4" max="4" width="14.88671875" bestFit="1" customWidth="1"/>
    <col min="5" max="18" width="5" bestFit="1" customWidth="1"/>
    <col min="19" max="28" width="6" bestFit="1" customWidth="1"/>
    <col min="29" max="29" width="10.77734375" bestFit="1" customWidth="1"/>
  </cols>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0901-69FD-4DC4-A180-D1ABFDF2A12E}">
  <dimension ref="B2:U54"/>
  <sheetViews>
    <sheetView workbookViewId="0">
      <selection activeCell="M11" sqref="M11"/>
    </sheetView>
  </sheetViews>
  <sheetFormatPr defaultRowHeight="14.4" x14ac:dyDescent="0.3"/>
  <cols>
    <col min="2" max="2" width="17.33203125" bestFit="1" customWidth="1"/>
    <col min="3" max="3" width="16.109375" bestFit="1" customWidth="1"/>
    <col min="4" max="4" width="9.109375" customWidth="1"/>
    <col min="5" max="5" width="13.6640625" bestFit="1" customWidth="1"/>
    <col min="6" max="6" width="14.88671875" bestFit="1" customWidth="1"/>
    <col min="7" max="7" width="8.5546875" customWidth="1"/>
    <col min="8" max="8" width="10.77734375" bestFit="1" customWidth="1"/>
    <col min="9" max="9" width="14.88671875" bestFit="1" customWidth="1"/>
    <col min="10" max="10" width="10.77734375" bestFit="1" customWidth="1"/>
    <col min="11" max="11" width="14.44140625" bestFit="1" customWidth="1"/>
    <col min="12" max="12" width="14.88671875" bestFit="1" customWidth="1"/>
    <col min="13" max="13" width="13.6640625" bestFit="1" customWidth="1"/>
    <col min="14" max="15" width="14.88671875" bestFit="1" customWidth="1"/>
    <col min="18" max="18" width="10.77734375" bestFit="1" customWidth="1"/>
    <col min="19" max="19" width="14.88671875" bestFit="1" customWidth="1"/>
    <col min="20" max="20" width="17.33203125" bestFit="1" customWidth="1"/>
    <col min="21" max="21" width="14.88671875" bestFit="1" customWidth="1"/>
  </cols>
  <sheetData>
    <row r="2" spans="2:20" ht="28.8" x14ac:dyDescent="0.3">
      <c r="B2" s="9" t="s">
        <v>9</v>
      </c>
      <c r="C2" t="s">
        <v>133</v>
      </c>
      <c r="E2" s="9" t="s">
        <v>4</v>
      </c>
      <c r="F2" s="14" t="s">
        <v>133</v>
      </c>
      <c r="H2" s="9" t="s">
        <v>155</v>
      </c>
      <c r="I2" t="s">
        <v>133</v>
      </c>
      <c r="K2" s="21" t="s">
        <v>5</v>
      </c>
      <c r="L2" s="6" t="s">
        <v>150</v>
      </c>
    </row>
    <row r="3" spans="2:20" x14ac:dyDescent="0.3">
      <c r="B3" s="12">
        <v>0</v>
      </c>
      <c r="C3" s="14">
        <v>28500</v>
      </c>
      <c r="E3" s="10" t="s">
        <v>53</v>
      </c>
      <c r="F3" s="14">
        <v>97050</v>
      </c>
      <c r="H3" s="10" t="s">
        <v>18</v>
      </c>
      <c r="I3" s="14">
        <v>413595</v>
      </c>
      <c r="K3" s="10" t="s">
        <v>16</v>
      </c>
      <c r="L3" s="3">
        <v>6.5000000000000016E-2</v>
      </c>
    </row>
    <row r="4" spans="2:20" x14ac:dyDescent="0.3">
      <c r="B4" s="12">
        <v>0.05</v>
      </c>
      <c r="C4" s="14">
        <v>272650</v>
      </c>
      <c r="E4" s="10" t="s">
        <v>39</v>
      </c>
      <c r="F4" s="14">
        <v>33720</v>
      </c>
      <c r="H4" s="10" t="s">
        <v>24</v>
      </c>
      <c r="I4" s="14">
        <v>308755</v>
      </c>
      <c r="K4" s="10" t="s">
        <v>28</v>
      </c>
      <c r="L4" s="3">
        <v>8.3333333333333329E-2</v>
      </c>
    </row>
    <row r="5" spans="2:20" x14ac:dyDescent="0.3">
      <c r="B5" s="12">
        <v>0.08</v>
      </c>
      <c r="C5" s="14">
        <v>207000</v>
      </c>
      <c r="E5" s="10" t="s">
        <v>15</v>
      </c>
      <c r="F5" s="14">
        <v>317880</v>
      </c>
      <c r="H5" s="10" t="s">
        <v>35</v>
      </c>
      <c r="I5" s="14">
        <v>36900</v>
      </c>
      <c r="K5" s="10" t="s">
        <v>48</v>
      </c>
      <c r="L5" s="3">
        <v>0.02</v>
      </c>
    </row>
    <row r="6" spans="2:20" x14ac:dyDescent="0.3">
      <c r="B6" s="12">
        <v>0.1</v>
      </c>
      <c r="C6" s="14">
        <v>251100</v>
      </c>
      <c r="E6" s="10" t="s">
        <v>33</v>
      </c>
      <c r="F6" s="14">
        <v>310600</v>
      </c>
      <c r="H6" s="10" t="s">
        <v>132</v>
      </c>
      <c r="I6" s="14">
        <v>759250</v>
      </c>
      <c r="K6" s="10" t="s">
        <v>132</v>
      </c>
      <c r="L6" s="3">
        <v>5.9250000000000011E-2</v>
      </c>
    </row>
    <row r="7" spans="2:20" x14ac:dyDescent="0.3">
      <c r="B7" s="12" t="s">
        <v>132</v>
      </c>
      <c r="C7" s="14">
        <v>759250</v>
      </c>
      <c r="E7" s="10" t="s">
        <v>132</v>
      </c>
      <c r="F7" s="14">
        <v>759250</v>
      </c>
    </row>
    <row r="10" spans="2:20" ht="15.6" x14ac:dyDescent="0.3">
      <c r="B10" s="22" t="s">
        <v>154</v>
      </c>
      <c r="C10" s="23" t="s">
        <v>133</v>
      </c>
      <c r="E10" s="9" t="s">
        <v>152</v>
      </c>
      <c r="F10" t="s">
        <v>133</v>
      </c>
      <c r="H10" s="9" t="s">
        <v>5</v>
      </c>
      <c r="I10" t="s">
        <v>133</v>
      </c>
      <c r="K10" s="9" t="s">
        <v>131</v>
      </c>
      <c r="L10" t="s">
        <v>133</v>
      </c>
    </row>
    <row r="11" spans="2:20" ht="15.6" x14ac:dyDescent="0.3">
      <c r="B11" s="24" t="s">
        <v>54</v>
      </c>
      <c r="C11" s="25">
        <v>207000</v>
      </c>
      <c r="E11" s="10" t="s">
        <v>41</v>
      </c>
      <c r="F11" s="13">
        <v>13620</v>
      </c>
      <c r="H11" s="10" t="s">
        <v>16</v>
      </c>
      <c r="I11" s="13">
        <v>650900</v>
      </c>
      <c r="K11" s="10" t="s">
        <v>139</v>
      </c>
      <c r="L11">
        <v>265655</v>
      </c>
    </row>
    <row r="12" spans="2:20" ht="15.6" x14ac:dyDescent="0.3">
      <c r="B12" s="24" t="s">
        <v>17</v>
      </c>
      <c r="C12" s="25">
        <v>253000</v>
      </c>
      <c r="E12" s="10" t="s">
        <v>19</v>
      </c>
      <c r="F12" s="13">
        <v>728830</v>
      </c>
      <c r="H12" s="10" t="s">
        <v>28</v>
      </c>
      <c r="I12" s="13">
        <v>61700</v>
      </c>
      <c r="K12" s="17">
        <v>46023</v>
      </c>
      <c r="L12">
        <v>52250</v>
      </c>
    </row>
    <row r="13" spans="2:20" ht="15.6" x14ac:dyDescent="0.3">
      <c r="B13" s="24" t="s">
        <v>23</v>
      </c>
      <c r="C13" s="25">
        <v>138750</v>
      </c>
      <c r="E13" s="10" t="s">
        <v>58</v>
      </c>
      <c r="F13" s="13">
        <v>16800</v>
      </c>
      <c r="H13" s="10" t="s">
        <v>48</v>
      </c>
      <c r="I13" s="13">
        <v>46650</v>
      </c>
      <c r="K13" s="17">
        <v>46024</v>
      </c>
      <c r="L13">
        <v>45000</v>
      </c>
      <c r="T13" s="14" t="e" vm="1">
        <v>#VALUE!</v>
      </c>
    </row>
    <row r="14" spans="2:20" ht="15.6" x14ac:dyDescent="0.3">
      <c r="B14" s="24" t="s">
        <v>132</v>
      </c>
      <c r="C14" s="25">
        <v>598750</v>
      </c>
      <c r="E14" s="10" t="s">
        <v>132</v>
      </c>
      <c r="F14" s="13">
        <v>759250</v>
      </c>
      <c r="H14" s="10" t="s">
        <v>132</v>
      </c>
      <c r="I14" s="13">
        <v>759250</v>
      </c>
      <c r="K14" s="17">
        <v>46025</v>
      </c>
      <c r="L14">
        <v>6650</v>
      </c>
    </row>
    <row r="15" spans="2:20" x14ac:dyDescent="0.3">
      <c r="K15" s="17">
        <v>46027</v>
      </c>
      <c r="L15">
        <v>7500</v>
      </c>
    </row>
    <row r="16" spans="2:20" x14ac:dyDescent="0.3">
      <c r="K16" s="17">
        <v>46029</v>
      </c>
      <c r="L16">
        <v>4320</v>
      </c>
      <c r="R16" s="9" t="s">
        <v>159</v>
      </c>
      <c r="S16" t="s">
        <v>133</v>
      </c>
    </row>
    <row r="17" spans="11:21" x14ac:dyDescent="0.3">
      <c r="K17" s="17">
        <v>46031</v>
      </c>
      <c r="L17">
        <v>7600</v>
      </c>
      <c r="R17" s="10" t="s">
        <v>139</v>
      </c>
      <c r="S17" s="13">
        <v>265655</v>
      </c>
    </row>
    <row r="18" spans="11:21" x14ac:dyDescent="0.3">
      <c r="K18" s="17">
        <v>46033</v>
      </c>
      <c r="L18">
        <v>3600</v>
      </c>
      <c r="R18" s="10" t="s">
        <v>140</v>
      </c>
      <c r="S18" s="13">
        <v>248975</v>
      </c>
    </row>
    <row r="19" spans="11:21" x14ac:dyDescent="0.3">
      <c r="K19" s="17">
        <v>46035</v>
      </c>
      <c r="L19">
        <v>41400</v>
      </c>
      <c r="R19" s="10" t="s">
        <v>141</v>
      </c>
      <c r="S19" s="13">
        <v>244620</v>
      </c>
      <c r="T19" s="9" t="s">
        <v>156</v>
      </c>
      <c r="U19" t="s">
        <v>133</v>
      </c>
    </row>
    <row r="20" spans="11:21" x14ac:dyDescent="0.3">
      <c r="K20" s="17">
        <v>46037</v>
      </c>
      <c r="L20">
        <v>5700</v>
      </c>
      <c r="R20" s="10" t="s">
        <v>132</v>
      </c>
      <c r="S20" s="13">
        <v>759250</v>
      </c>
      <c r="T20" s="10" t="s">
        <v>13</v>
      </c>
      <c r="U20" s="14">
        <v>175750</v>
      </c>
    </row>
    <row r="21" spans="11:21" x14ac:dyDescent="0.3">
      <c r="K21" s="17">
        <v>46040</v>
      </c>
      <c r="L21">
        <v>3960</v>
      </c>
      <c r="T21" s="10" t="s">
        <v>31</v>
      </c>
      <c r="U21" s="14">
        <v>171200</v>
      </c>
    </row>
    <row r="22" spans="11:21" x14ac:dyDescent="0.3">
      <c r="K22" s="17">
        <v>46042</v>
      </c>
      <c r="L22">
        <v>23750</v>
      </c>
      <c r="T22" s="10" t="s">
        <v>43</v>
      </c>
      <c r="U22" s="14">
        <v>139400</v>
      </c>
    </row>
    <row r="23" spans="11:21" x14ac:dyDescent="0.3">
      <c r="K23" s="17">
        <v>46044</v>
      </c>
      <c r="L23">
        <v>5400</v>
      </c>
      <c r="T23" s="10" t="s">
        <v>51</v>
      </c>
      <c r="U23" s="14">
        <v>97050</v>
      </c>
    </row>
    <row r="24" spans="11:21" x14ac:dyDescent="0.3">
      <c r="K24" s="17">
        <v>46046</v>
      </c>
      <c r="L24">
        <v>3325</v>
      </c>
      <c r="T24" s="10" t="s">
        <v>21</v>
      </c>
      <c r="U24" s="14">
        <v>81450</v>
      </c>
    </row>
    <row r="25" spans="11:21" x14ac:dyDescent="0.3">
      <c r="K25" s="17">
        <v>46048</v>
      </c>
      <c r="L25">
        <v>49500</v>
      </c>
      <c r="T25" s="10" t="s">
        <v>132</v>
      </c>
      <c r="U25" s="14">
        <v>664850</v>
      </c>
    </row>
    <row r="26" spans="11:21" x14ac:dyDescent="0.3">
      <c r="K26" s="17">
        <v>46050</v>
      </c>
      <c r="L26">
        <v>5700</v>
      </c>
    </row>
    <row r="27" spans="11:21" x14ac:dyDescent="0.3">
      <c r="K27" s="10" t="s">
        <v>140</v>
      </c>
      <c r="L27">
        <v>248975</v>
      </c>
    </row>
    <row r="28" spans="11:21" x14ac:dyDescent="0.3">
      <c r="K28" s="17">
        <v>46054</v>
      </c>
      <c r="L28">
        <v>41400</v>
      </c>
    </row>
    <row r="29" spans="11:21" x14ac:dyDescent="0.3">
      <c r="K29" s="17">
        <v>46056</v>
      </c>
      <c r="L29">
        <v>5400</v>
      </c>
    </row>
    <row r="30" spans="11:21" x14ac:dyDescent="0.3">
      <c r="K30" s="17">
        <v>46058</v>
      </c>
      <c r="L30">
        <v>4750</v>
      </c>
    </row>
    <row r="31" spans="11:21" x14ac:dyDescent="0.3">
      <c r="K31" s="17">
        <v>46060</v>
      </c>
      <c r="L31">
        <v>1800</v>
      </c>
    </row>
    <row r="32" spans="11:21" x14ac:dyDescent="0.3">
      <c r="K32" s="17">
        <v>46063</v>
      </c>
      <c r="L32">
        <v>5940</v>
      </c>
    </row>
    <row r="33" spans="11:12" x14ac:dyDescent="0.3">
      <c r="K33" s="17">
        <v>46065</v>
      </c>
      <c r="L33">
        <v>52250</v>
      </c>
    </row>
    <row r="34" spans="11:12" x14ac:dyDescent="0.3">
      <c r="K34" s="17">
        <v>46068</v>
      </c>
      <c r="L34">
        <v>22500</v>
      </c>
    </row>
    <row r="35" spans="11:12" x14ac:dyDescent="0.3">
      <c r="K35" s="17">
        <v>46071</v>
      </c>
      <c r="L35">
        <v>9975</v>
      </c>
    </row>
    <row r="36" spans="11:12" x14ac:dyDescent="0.3">
      <c r="K36" s="17">
        <v>46073</v>
      </c>
      <c r="L36">
        <v>15200</v>
      </c>
    </row>
    <row r="37" spans="11:12" x14ac:dyDescent="0.3">
      <c r="K37" s="17">
        <v>46075</v>
      </c>
      <c r="L37">
        <v>3000</v>
      </c>
    </row>
    <row r="38" spans="11:12" x14ac:dyDescent="0.3">
      <c r="K38" s="17">
        <v>46078</v>
      </c>
      <c r="L38">
        <v>82800</v>
      </c>
    </row>
    <row r="39" spans="11:12" x14ac:dyDescent="0.3">
      <c r="K39" s="17">
        <v>46080</v>
      </c>
      <c r="L39">
        <v>3960</v>
      </c>
    </row>
    <row r="40" spans="11:12" x14ac:dyDescent="0.3">
      <c r="K40" s="10" t="s">
        <v>141</v>
      </c>
      <c r="L40">
        <v>244620</v>
      </c>
    </row>
    <row r="41" spans="11:12" x14ac:dyDescent="0.3">
      <c r="K41" s="17">
        <v>46082</v>
      </c>
      <c r="L41">
        <v>9500</v>
      </c>
    </row>
    <row r="42" spans="11:12" x14ac:dyDescent="0.3">
      <c r="K42" s="17">
        <v>46084</v>
      </c>
      <c r="L42">
        <v>3600</v>
      </c>
    </row>
    <row r="43" spans="11:12" x14ac:dyDescent="0.3">
      <c r="K43" s="17">
        <v>46086</v>
      </c>
      <c r="L43">
        <v>3240</v>
      </c>
    </row>
    <row r="44" spans="11:12" x14ac:dyDescent="0.3">
      <c r="K44" s="17">
        <v>46089</v>
      </c>
      <c r="L44">
        <v>47500</v>
      </c>
    </row>
    <row r="45" spans="11:12" x14ac:dyDescent="0.3">
      <c r="K45" s="17">
        <v>46091</v>
      </c>
      <c r="L45">
        <v>8550</v>
      </c>
    </row>
    <row r="46" spans="11:12" x14ac:dyDescent="0.3">
      <c r="K46" s="17">
        <v>46093</v>
      </c>
      <c r="L46">
        <v>6650</v>
      </c>
    </row>
    <row r="47" spans="11:12" x14ac:dyDescent="0.3">
      <c r="K47" s="17">
        <v>46096</v>
      </c>
      <c r="L47">
        <v>99000</v>
      </c>
    </row>
    <row r="48" spans="11:12" x14ac:dyDescent="0.3">
      <c r="K48" s="17">
        <v>46099</v>
      </c>
      <c r="L48">
        <v>3600</v>
      </c>
    </row>
    <row r="49" spans="11:12" x14ac:dyDescent="0.3">
      <c r="K49" s="17">
        <v>46101</v>
      </c>
      <c r="L49">
        <v>7600</v>
      </c>
    </row>
    <row r="50" spans="11:12" x14ac:dyDescent="0.3">
      <c r="K50" s="17">
        <v>46103</v>
      </c>
      <c r="L50">
        <v>4320</v>
      </c>
    </row>
    <row r="51" spans="11:12" x14ac:dyDescent="0.3">
      <c r="K51" s="17">
        <v>46106</v>
      </c>
      <c r="L51">
        <v>41400</v>
      </c>
    </row>
    <row r="52" spans="11:12" x14ac:dyDescent="0.3">
      <c r="K52" s="17">
        <v>46108</v>
      </c>
      <c r="L52">
        <v>5700</v>
      </c>
    </row>
    <row r="53" spans="11:12" x14ac:dyDescent="0.3">
      <c r="K53" s="17">
        <v>46111</v>
      </c>
      <c r="L53">
        <v>3960</v>
      </c>
    </row>
    <row r="54" spans="11:12" x14ac:dyDescent="0.3">
      <c r="K54" s="10" t="s">
        <v>132</v>
      </c>
      <c r="L54">
        <v>759250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5193-9C29-432F-9FA3-7741BF33A31E}">
  <dimension ref="A1:T34"/>
  <sheetViews>
    <sheetView zoomScale="85" zoomScaleNormal="85" workbookViewId="0">
      <selection activeCell="A2" sqref="A2:T34"/>
    </sheetView>
  </sheetViews>
  <sheetFormatPr defaultRowHeight="14.4" x14ac:dyDescent="0.3"/>
  <cols>
    <col min="1" max="1" width="10.77734375" bestFit="1" customWidth="1"/>
    <col min="2" max="2" width="12.88671875" bestFit="1" customWidth="1"/>
    <col min="3" max="3" width="11.33203125" bestFit="1" customWidth="1"/>
    <col min="4" max="4" width="9.77734375" bestFit="1" customWidth="1"/>
    <col min="5" max="5" width="9" bestFit="1" customWidth="1"/>
    <col min="6" max="6" width="10.77734375" bestFit="1" customWidth="1"/>
    <col min="7" max="7" width="11.109375" bestFit="1" customWidth="1"/>
    <col min="8" max="8" width="10.5546875" bestFit="1" customWidth="1"/>
    <col min="9" max="9" width="11.88671875" bestFit="1" customWidth="1"/>
    <col min="10" max="10" width="10.5546875" bestFit="1" customWidth="1"/>
    <col min="11" max="11" width="18.6640625" bestFit="1" customWidth="1"/>
    <col min="12" max="12" width="14.21875" bestFit="1" customWidth="1"/>
    <col min="13" max="13" width="10.5546875" bestFit="1" customWidth="1"/>
    <col min="14" max="14" width="12.5546875" bestFit="1" customWidth="1"/>
    <col min="15" max="15" width="8.33203125" bestFit="1" customWidth="1"/>
    <col min="16" max="16" width="8.44140625" bestFit="1" customWidth="1"/>
    <col min="17" max="17" width="9" bestFit="1" customWidth="1"/>
    <col min="18" max="18" width="16.77734375" bestFit="1" customWidth="1"/>
    <col min="19" max="19" width="6.88671875" bestFit="1" customWidth="1"/>
    <col min="20" max="20" width="12.5546875" bestFit="1" customWidth="1"/>
    <col min="30" max="30" width="12.5546875" bestFit="1" customWidth="1"/>
    <col min="31" max="31" width="14.88671875" bestFit="1" customWidth="1"/>
  </cols>
  <sheetData>
    <row r="1" spans="1:20" x14ac:dyDescent="0.3">
      <c r="A1" t="s">
        <v>0</v>
      </c>
      <c r="B1" t="s">
        <v>1</v>
      </c>
      <c r="C1" t="s">
        <v>2</v>
      </c>
      <c r="D1" t="s">
        <v>3</v>
      </c>
      <c r="E1" t="s">
        <v>4</v>
      </c>
      <c r="F1" t="s">
        <v>5</v>
      </c>
      <c r="G1" t="s">
        <v>6</v>
      </c>
      <c r="H1" t="s">
        <v>7</v>
      </c>
      <c r="I1" t="s">
        <v>8</v>
      </c>
      <c r="J1" t="s">
        <v>9</v>
      </c>
      <c r="K1" t="s">
        <v>10</v>
      </c>
      <c r="L1" t="s">
        <v>11</v>
      </c>
      <c r="M1" t="s">
        <v>99</v>
      </c>
      <c r="N1" t="s">
        <v>112</v>
      </c>
      <c r="O1" t="s">
        <v>115</v>
      </c>
      <c r="P1" t="s">
        <v>116</v>
      </c>
      <c r="Q1" t="s">
        <v>117</v>
      </c>
      <c r="R1" t="s">
        <v>118</v>
      </c>
      <c r="S1" t="s">
        <v>119</v>
      </c>
      <c r="T1" t="s">
        <v>143</v>
      </c>
    </row>
    <row r="2" spans="1:20" x14ac:dyDescent="0.3">
      <c r="A2" t="s">
        <v>12</v>
      </c>
      <c r="B2" s="11">
        <v>46023</v>
      </c>
      <c r="C2" t="s">
        <v>13</v>
      </c>
      <c r="D2" t="s">
        <v>14</v>
      </c>
      <c r="E2" t="s">
        <v>15</v>
      </c>
      <c r="F2" t="s">
        <v>16</v>
      </c>
      <c r="G2" t="s">
        <v>17</v>
      </c>
      <c r="H2">
        <v>1</v>
      </c>
      <c r="I2">
        <v>55000</v>
      </c>
      <c r="J2">
        <v>0.05</v>
      </c>
      <c r="K2" t="s">
        <v>18</v>
      </c>
      <c r="L2" t="s">
        <v>19</v>
      </c>
      <c r="M2">
        <v>52250</v>
      </c>
      <c r="N2" t="s">
        <v>142</v>
      </c>
      <c r="O2" t="s">
        <v>113</v>
      </c>
      <c r="P2" t="s">
        <v>135</v>
      </c>
      <c r="Q2" t="s">
        <v>137</v>
      </c>
      <c r="R2">
        <v>1</v>
      </c>
      <c r="S2">
        <v>2026</v>
      </c>
      <c r="T2">
        <v>55000</v>
      </c>
    </row>
    <row r="3" spans="1:20" x14ac:dyDescent="0.3">
      <c r="A3" t="s">
        <v>20</v>
      </c>
      <c r="B3" s="11">
        <v>46024</v>
      </c>
      <c r="C3" t="s">
        <v>21</v>
      </c>
      <c r="D3" t="s">
        <v>22</v>
      </c>
      <c r="E3" t="s">
        <v>15</v>
      </c>
      <c r="F3" t="s">
        <v>16</v>
      </c>
      <c r="G3" t="s">
        <v>23</v>
      </c>
      <c r="H3">
        <v>2</v>
      </c>
      <c r="I3">
        <v>25000</v>
      </c>
      <c r="J3">
        <v>0.1</v>
      </c>
      <c r="K3" t="s">
        <v>24</v>
      </c>
      <c r="L3" t="s">
        <v>19</v>
      </c>
      <c r="M3">
        <v>45000</v>
      </c>
      <c r="N3" t="s">
        <v>142</v>
      </c>
      <c r="O3" t="s">
        <v>113</v>
      </c>
      <c r="P3" t="s">
        <v>135</v>
      </c>
      <c r="Q3" t="s">
        <v>137</v>
      </c>
      <c r="R3">
        <v>1</v>
      </c>
      <c r="S3">
        <v>2026</v>
      </c>
      <c r="T3">
        <v>50000</v>
      </c>
    </row>
    <row r="4" spans="1:20" x14ac:dyDescent="0.3">
      <c r="A4" t="s">
        <v>25</v>
      </c>
      <c r="B4" s="11">
        <v>46025</v>
      </c>
      <c r="C4" t="s">
        <v>26</v>
      </c>
      <c r="D4" t="s">
        <v>27</v>
      </c>
      <c r="E4" t="s">
        <v>15</v>
      </c>
      <c r="F4" t="s">
        <v>28</v>
      </c>
      <c r="G4" t="s">
        <v>29</v>
      </c>
      <c r="H4">
        <v>2</v>
      </c>
      <c r="I4">
        <v>3500</v>
      </c>
      <c r="J4">
        <v>0.05</v>
      </c>
      <c r="K4" t="s">
        <v>18</v>
      </c>
      <c r="L4" t="s">
        <v>19</v>
      </c>
      <c r="M4">
        <v>6650</v>
      </c>
      <c r="N4" t="s">
        <v>134</v>
      </c>
      <c r="O4" t="s">
        <v>135</v>
      </c>
      <c r="P4" t="s">
        <v>135</v>
      </c>
      <c r="Q4" t="s">
        <v>137</v>
      </c>
      <c r="R4">
        <v>1</v>
      </c>
      <c r="S4">
        <v>2026</v>
      </c>
      <c r="T4">
        <v>7000</v>
      </c>
    </row>
    <row r="5" spans="1:20" x14ac:dyDescent="0.3">
      <c r="A5" t="s">
        <v>30</v>
      </c>
      <c r="B5" s="11">
        <v>46027</v>
      </c>
      <c r="C5" t="s">
        <v>31</v>
      </c>
      <c r="D5" t="s">
        <v>32</v>
      </c>
      <c r="E5" t="s">
        <v>33</v>
      </c>
      <c r="F5" t="s">
        <v>16</v>
      </c>
      <c r="G5" t="s">
        <v>34</v>
      </c>
      <c r="H5">
        <v>3</v>
      </c>
      <c r="I5">
        <v>2500</v>
      </c>
      <c r="J5">
        <v>0</v>
      </c>
      <c r="K5" t="s">
        <v>35</v>
      </c>
      <c r="L5" t="s">
        <v>19</v>
      </c>
      <c r="M5">
        <v>7500</v>
      </c>
      <c r="N5" t="s">
        <v>134</v>
      </c>
      <c r="O5" t="s">
        <v>135</v>
      </c>
      <c r="P5" t="s">
        <v>135</v>
      </c>
      <c r="Q5" t="s">
        <v>137</v>
      </c>
      <c r="R5">
        <v>1</v>
      </c>
      <c r="S5">
        <v>2026</v>
      </c>
      <c r="T5">
        <v>7500</v>
      </c>
    </row>
    <row r="6" spans="1:20" x14ac:dyDescent="0.3">
      <c r="A6" t="s">
        <v>42</v>
      </c>
      <c r="B6" s="11">
        <v>46031</v>
      </c>
      <c r="C6" t="s">
        <v>43</v>
      </c>
      <c r="D6" t="s">
        <v>44</v>
      </c>
      <c r="E6" t="s">
        <v>33</v>
      </c>
      <c r="F6" t="s">
        <v>16</v>
      </c>
      <c r="G6" t="s">
        <v>45</v>
      </c>
      <c r="H6">
        <v>1</v>
      </c>
      <c r="I6">
        <v>8000</v>
      </c>
      <c r="J6">
        <v>0.05</v>
      </c>
      <c r="K6" t="s">
        <v>18</v>
      </c>
      <c r="L6" t="s">
        <v>19</v>
      </c>
      <c r="M6">
        <v>7600</v>
      </c>
      <c r="N6" t="s">
        <v>134</v>
      </c>
      <c r="O6" t="s">
        <v>135</v>
      </c>
      <c r="P6" t="s">
        <v>135</v>
      </c>
      <c r="Q6" t="s">
        <v>137</v>
      </c>
      <c r="R6">
        <v>1</v>
      </c>
      <c r="S6">
        <v>2026</v>
      </c>
      <c r="T6">
        <v>8000</v>
      </c>
    </row>
    <row r="7" spans="1:20" x14ac:dyDescent="0.3">
      <c r="A7" t="s">
        <v>46</v>
      </c>
      <c r="B7" s="11">
        <v>46033</v>
      </c>
      <c r="C7" t="s">
        <v>47</v>
      </c>
      <c r="D7" t="s">
        <v>14</v>
      </c>
      <c r="E7" t="s">
        <v>15</v>
      </c>
      <c r="F7" t="s">
        <v>48</v>
      </c>
      <c r="G7" t="s">
        <v>49</v>
      </c>
      <c r="H7">
        <v>2</v>
      </c>
      <c r="I7">
        <v>1800</v>
      </c>
      <c r="J7">
        <v>0</v>
      </c>
      <c r="K7" t="s">
        <v>18</v>
      </c>
      <c r="L7" t="s">
        <v>19</v>
      </c>
      <c r="M7">
        <v>3600</v>
      </c>
      <c r="N7" t="s">
        <v>134</v>
      </c>
      <c r="O7" t="s">
        <v>135</v>
      </c>
      <c r="P7" t="s">
        <v>135</v>
      </c>
      <c r="Q7" t="s">
        <v>137</v>
      </c>
      <c r="R7">
        <v>1</v>
      </c>
      <c r="S7">
        <v>2026</v>
      </c>
      <c r="T7">
        <v>3600</v>
      </c>
    </row>
    <row r="8" spans="1:20" x14ac:dyDescent="0.3">
      <c r="A8" t="s">
        <v>50</v>
      </c>
      <c r="B8" s="11">
        <v>46035</v>
      </c>
      <c r="C8" t="s">
        <v>51</v>
      </c>
      <c r="D8" t="s">
        <v>52</v>
      </c>
      <c r="E8" t="s">
        <v>53</v>
      </c>
      <c r="F8" t="s">
        <v>16</v>
      </c>
      <c r="G8" t="s">
        <v>54</v>
      </c>
      <c r="H8">
        <v>1</v>
      </c>
      <c r="I8">
        <v>45000</v>
      </c>
      <c r="J8">
        <v>0.08</v>
      </c>
      <c r="K8" t="s">
        <v>24</v>
      </c>
      <c r="L8" t="s">
        <v>19</v>
      </c>
      <c r="M8">
        <v>41400</v>
      </c>
      <c r="N8" t="s">
        <v>142</v>
      </c>
      <c r="O8" t="s">
        <v>113</v>
      </c>
      <c r="P8" t="s">
        <v>135</v>
      </c>
      <c r="Q8" t="s">
        <v>137</v>
      </c>
      <c r="R8">
        <v>1</v>
      </c>
      <c r="S8">
        <v>2026</v>
      </c>
      <c r="T8">
        <v>45000</v>
      </c>
    </row>
    <row r="9" spans="1:20" x14ac:dyDescent="0.3">
      <c r="A9" t="s">
        <v>59</v>
      </c>
      <c r="B9" s="11">
        <v>46040</v>
      </c>
      <c r="C9" t="s">
        <v>60</v>
      </c>
      <c r="D9" t="s">
        <v>38</v>
      </c>
      <c r="E9" t="s">
        <v>39</v>
      </c>
      <c r="F9" t="s">
        <v>28</v>
      </c>
      <c r="G9" t="s">
        <v>61</v>
      </c>
      <c r="H9">
        <v>2</v>
      </c>
      <c r="I9">
        <v>2200</v>
      </c>
      <c r="J9">
        <v>0.1</v>
      </c>
      <c r="K9" t="s">
        <v>35</v>
      </c>
      <c r="L9" t="s">
        <v>19</v>
      </c>
      <c r="M9">
        <v>3960</v>
      </c>
      <c r="N9" t="s">
        <v>134</v>
      </c>
      <c r="O9" t="s">
        <v>135</v>
      </c>
      <c r="P9" t="s">
        <v>135</v>
      </c>
      <c r="Q9" t="s">
        <v>137</v>
      </c>
      <c r="R9">
        <v>1</v>
      </c>
      <c r="S9">
        <v>2026</v>
      </c>
      <c r="T9">
        <v>4400</v>
      </c>
    </row>
    <row r="10" spans="1:20" x14ac:dyDescent="0.3">
      <c r="A10" t="s">
        <v>62</v>
      </c>
      <c r="B10" s="11">
        <v>46042</v>
      </c>
      <c r="C10" t="s">
        <v>13</v>
      </c>
      <c r="D10" t="s">
        <v>14</v>
      </c>
      <c r="E10" t="s">
        <v>15</v>
      </c>
      <c r="F10" t="s">
        <v>16</v>
      </c>
      <c r="G10" t="s">
        <v>23</v>
      </c>
      <c r="H10">
        <v>1</v>
      </c>
      <c r="I10">
        <v>25000</v>
      </c>
      <c r="J10">
        <v>0.05</v>
      </c>
      <c r="K10" t="s">
        <v>24</v>
      </c>
      <c r="L10" t="s">
        <v>19</v>
      </c>
      <c r="M10">
        <v>23750</v>
      </c>
      <c r="N10" t="s">
        <v>142</v>
      </c>
      <c r="O10" t="s">
        <v>113</v>
      </c>
      <c r="P10" t="s">
        <v>135</v>
      </c>
      <c r="Q10" t="s">
        <v>137</v>
      </c>
      <c r="R10">
        <v>1</v>
      </c>
      <c r="S10">
        <v>2026</v>
      </c>
      <c r="T10">
        <v>25000</v>
      </c>
    </row>
    <row r="11" spans="1:20" x14ac:dyDescent="0.3">
      <c r="A11" t="s">
        <v>63</v>
      </c>
      <c r="B11" s="11">
        <v>46044</v>
      </c>
      <c r="C11" t="s">
        <v>21</v>
      </c>
      <c r="D11" t="s">
        <v>22</v>
      </c>
      <c r="E11" t="s">
        <v>15</v>
      </c>
      <c r="F11" t="s">
        <v>48</v>
      </c>
      <c r="G11" t="s">
        <v>49</v>
      </c>
      <c r="H11">
        <v>3</v>
      </c>
      <c r="I11">
        <v>1800</v>
      </c>
      <c r="J11">
        <v>0</v>
      </c>
      <c r="K11" t="s">
        <v>18</v>
      </c>
      <c r="L11" t="s">
        <v>19</v>
      </c>
      <c r="M11">
        <v>5400</v>
      </c>
      <c r="N11" t="s">
        <v>134</v>
      </c>
      <c r="O11" t="s">
        <v>135</v>
      </c>
      <c r="P11" t="s">
        <v>135</v>
      </c>
      <c r="Q11" t="s">
        <v>137</v>
      </c>
      <c r="R11">
        <v>1</v>
      </c>
      <c r="S11">
        <v>2026</v>
      </c>
      <c r="T11">
        <v>5400</v>
      </c>
    </row>
    <row r="12" spans="1:20" x14ac:dyDescent="0.3">
      <c r="A12" t="s">
        <v>64</v>
      </c>
      <c r="B12" s="11">
        <v>46046</v>
      </c>
      <c r="C12" t="s">
        <v>26</v>
      </c>
      <c r="D12" t="s">
        <v>27</v>
      </c>
      <c r="E12" t="s">
        <v>15</v>
      </c>
      <c r="F12" t="s">
        <v>28</v>
      </c>
      <c r="G12" t="s">
        <v>29</v>
      </c>
      <c r="H12">
        <v>1</v>
      </c>
      <c r="I12">
        <v>3500</v>
      </c>
      <c r="J12">
        <v>0.05</v>
      </c>
      <c r="K12" t="s">
        <v>24</v>
      </c>
      <c r="L12" t="s">
        <v>19</v>
      </c>
      <c r="M12">
        <v>3325</v>
      </c>
      <c r="N12" t="s">
        <v>134</v>
      </c>
      <c r="O12" t="s">
        <v>135</v>
      </c>
      <c r="P12" t="s">
        <v>135</v>
      </c>
      <c r="Q12" t="s">
        <v>137</v>
      </c>
      <c r="R12">
        <v>1</v>
      </c>
      <c r="S12">
        <v>2026</v>
      </c>
      <c r="T12">
        <v>3500</v>
      </c>
    </row>
    <row r="13" spans="1:20" x14ac:dyDescent="0.3">
      <c r="A13" t="s">
        <v>65</v>
      </c>
      <c r="B13" s="11">
        <v>46048</v>
      </c>
      <c r="C13" t="s">
        <v>31</v>
      </c>
      <c r="D13" t="s">
        <v>32</v>
      </c>
      <c r="E13" t="s">
        <v>33</v>
      </c>
      <c r="F13" t="s">
        <v>16</v>
      </c>
      <c r="G13" t="s">
        <v>17</v>
      </c>
      <c r="H13">
        <v>1</v>
      </c>
      <c r="I13">
        <v>55000</v>
      </c>
      <c r="J13">
        <v>0.1</v>
      </c>
      <c r="K13" t="s">
        <v>18</v>
      </c>
      <c r="L13" t="s">
        <v>19</v>
      </c>
      <c r="M13">
        <v>49500</v>
      </c>
      <c r="N13" t="s">
        <v>142</v>
      </c>
      <c r="O13" t="s">
        <v>113</v>
      </c>
      <c r="P13" t="s">
        <v>135</v>
      </c>
      <c r="Q13" t="s">
        <v>137</v>
      </c>
      <c r="R13">
        <v>1</v>
      </c>
      <c r="S13">
        <v>2026</v>
      </c>
      <c r="T13">
        <v>55000</v>
      </c>
    </row>
    <row r="14" spans="1:20" x14ac:dyDescent="0.3">
      <c r="A14" t="s">
        <v>67</v>
      </c>
      <c r="B14" s="11">
        <v>46054</v>
      </c>
      <c r="C14" t="s">
        <v>43</v>
      </c>
      <c r="D14" t="s">
        <v>44</v>
      </c>
      <c r="E14" t="s">
        <v>33</v>
      </c>
      <c r="F14" t="s">
        <v>16</v>
      </c>
      <c r="G14" t="s">
        <v>54</v>
      </c>
      <c r="H14">
        <v>1</v>
      </c>
      <c r="I14">
        <v>45000</v>
      </c>
      <c r="J14">
        <v>0.08</v>
      </c>
      <c r="K14" t="s">
        <v>24</v>
      </c>
      <c r="L14" t="s">
        <v>19</v>
      </c>
      <c r="M14">
        <v>41400</v>
      </c>
      <c r="N14" t="s">
        <v>142</v>
      </c>
      <c r="O14" t="s">
        <v>113</v>
      </c>
      <c r="P14" t="s">
        <v>135</v>
      </c>
      <c r="Q14" t="s">
        <v>138</v>
      </c>
      <c r="R14">
        <v>2</v>
      </c>
      <c r="S14">
        <v>2026</v>
      </c>
      <c r="T14">
        <v>45000</v>
      </c>
    </row>
    <row r="15" spans="1:20" x14ac:dyDescent="0.3">
      <c r="A15" t="s">
        <v>68</v>
      </c>
      <c r="B15" s="11">
        <v>46056</v>
      </c>
      <c r="C15" t="s">
        <v>47</v>
      </c>
      <c r="D15" t="s">
        <v>14</v>
      </c>
      <c r="E15" t="s">
        <v>15</v>
      </c>
      <c r="F15" t="s">
        <v>28</v>
      </c>
      <c r="G15" t="s">
        <v>40</v>
      </c>
      <c r="H15">
        <v>5</v>
      </c>
      <c r="I15">
        <v>1200</v>
      </c>
      <c r="J15">
        <v>0.1</v>
      </c>
      <c r="K15" t="s">
        <v>18</v>
      </c>
      <c r="L15" t="s">
        <v>19</v>
      </c>
      <c r="M15">
        <v>5400</v>
      </c>
      <c r="N15" t="s">
        <v>134</v>
      </c>
      <c r="O15" t="s">
        <v>135</v>
      </c>
      <c r="P15" t="s">
        <v>135</v>
      </c>
      <c r="Q15" t="s">
        <v>138</v>
      </c>
      <c r="R15">
        <v>2</v>
      </c>
      <c r="S15">
        <v>2026</v>
      </c>
      <c r="T15">
        <v>6000</v>
      </c>
    </row>
    <row r="16" spans="1:20" x14ac:dyDescent="0.3">
      <c r="A16" t="s">
        <v>69</v>
      </c>
      <c r="B16" s="11">
        <v>46058</v>
      </c>
      <c r="C16" t="s">
        <v>51</v>
      </c>
      <c r="D16" t="s">
        <v>52</v>
      </c>
      <c r="E16" t="s">
        <v>53</v>
      </c>
      <c r="F16" t="s">
        <v>16</v>
      </c>
      <c r="G16" t="s">
        <v>34</v>
      </c>
      <c r="H16">
        <v>2</v>
      </c>
      <c r="I16">
        <v>2500</v>
      </c>
      <c r="J16">
        <v>0.05</v>
      </c>
      <c r="K16" t="s">
        <v>24</v>
      </c>
      <c r="L16" t="s">
        <v>19</v>
      </c>
      <c r="M16">
        <v>4750</v>
      </c>
      <c r="N16" t="s">
        <v>134</v>
      </c>
      <c r="O16" t="s">
        <v>135</v>
      </c>
      <c r="P16" t="s">
        <v>135</v>
      </c>
      <c r="Q16" t="s">
        <v>138</v>
      </c>
      <c r="R16">
        <v>2</v>
      </c>
      <c r="S16">
        <v>2026</v>
      </c>
      <c r="T16">
        <v>5000</v>
      </c>
    </row>
    <row r="17" spans="1:20" x14ac:dyDescent="0.3">
      <c r="A17" t="s">
        <v>71</v>
      </c>
      <c r="B17" s="11">
        <v>46063</v>
      </c>
      <c r="C17" t="s">
        <v>60</v>
      </c>
      <c r="D17" t="s">
        <v>38</v>
      </c>
      <c r="E17" t="s">
        <v>39</v>
      </c>
      <c r="F17" t="s">
        <v>28</v>
      </c>
      <c r="G17" t="s">
        <v>61</v>
      </c>
      <c r="H17">
        <v>3</v>
      </c>
      <c r="I17">
        <v>2200</v>
      </c>
      <c r="J17">
        <v>0.1</v>
      </c>
      <c r="K17" t="s">
        <v>35</v>
      </c>
      <c r="L17" t="s">
        <v>19</v>
      </c>
      <c r="M17">
        <v>5940</v>
      </c>
      <c r="N17" t="s">
        <v>134</v>
      </c>
      <c r="O17" t="s">
        <v>135</v>
      </c>
      <c r="P17" t="s">
        <v>135</v>
      </c>
      <c r="Q17" t="s">
        <v>138</v>
      </c>
      <c r="R17">
        <v>2</v>
      </c>
      <c r="S17">
        <v>2026</v>
      </c>
      <c r="T17">
        <v>6600</v>
      </c>
    </row>
    <row r="18" spans="1:20" x14ac:dyDescent="0.3">
      <c r="A18" t="s">
        <v>72</v>
      </c>
      <c r="B18" s="11">
        <v>46065</v>
      </c>
      <c r="C18" t="s">
        <v>13</v>
      </c>
      <c r="D18" t="s">
        <v>14</v>
      </c>
      <c r="E18" t="s">
        <v>15</v>
      </c>
      <c r="F18" t="s">
        <v>16</v>
      </c>
      <c r="G18" t="s">
        <v>17</v>
      </c>
      <c r="H18">
        <v>1</v>
      </c>
      <c r="I18">
        <v>55000</v>
      </c>
      <c r="J18">
        <v>0.05</v>
      </c>
      <c r="K18" t="s">
        <v>18</v>
      </c>
      <c r="L18" t="s">
        <v>19</v>
      </c>
      <c r="M18">
        <v>52250</v>
      </c>
      <c r="N18" t="s">
        <v>142</v>
      </c>
      <c r="O18" t="s">
        <v>113</v>
      </c>
      <c r="P18" t="s">
        <v>135</v>
      </c>
      <c r="Q18" t="s">
        <v>138</v>
      </c>
      <c r="R18">
        <v>2</v>
      </c>
      <c r="S18">
        <v>2026</v>
      </c>
      <c r="T18">
        <v>55000</v>
      </c>
    </row>
    <row r="19" spans="1:20" x14ac:dyDescent="0.3">
      <c r="A19" t="s">
        <v>73</v>
      </c>
      <c r="B19" s="11">
        <v>46068</v>
      </c>
      <c r="C19" t="s">
        <v>21</v>
      </c>
      <c r="D19" t="s">
        <v>22</v>
      </c>
      <c r="E19" t="s">
        <v>15</v>
      </c>
      <c r="F19" t="s">
        <v>16</v>
      </c>
      <c r="G19" t="s">
        <v>23</v>
      </c>
      <c r="H19">
        <v>1</v>
      </c>
      <c r="I19">
        <v>25000</v>
      </c>
      <c r="J19">
        <v>0.1</v>
      </c>
      <c r="K19" t="s">
        <v>24</v>
      </c>
      <c r="L19" t="s">
        <v>19</v>
      </c>
      <c r="M19">
        <v>22500</v>
      </c>
      <c r="N19" t="s">
        <v>142</v>
      </c>
      <c r="O19" t="s">
        <v>113</v>
      </c>
      <c r="P19" t="s">
        <v>135</v>
      </c>
      <c r="Q19" t="s">
        <v>138</v>
      </c>
      <c r="R19">
        <v>2</v>
      </c>
      <c r="S19">
        <v>2026</v>
      </c>
      <c r="T19">
        <v>25000</v>
      </c>
    </row>
    <row r="20" spans="1:20" x14ac:dyDescent="0.3">
      <c r="A20" t="s">
        <v>74</v>
      </c>
      <c r="B20" s="11">
        <v>46071</v>
      </c>
      <c r="C20" t="s">
        <v>26</v>
      </c>
      <c r="D20" t="s">
        <v>27</v>
      </c>
      <c r="E20" t="s">
        <v>15</v>
      </c>
      <c r="F20" t="s">
        <v>28</v>
      </c>
      <c r="G20" t="s">
        <v>29</v>
      </c>
      <c r="H20">
        <v>3</v>
      </c>
      <c r="I20">
        <v>3500</v>
      </c>
      <c r="J20">
        <v>0.05</v>
      </c>
      <c r="K20" t="s">
        <v>18</v>
      </c>
      <c r="L20" t="s">
        <v>19</v>
      </c>
      <c r="M20">
        <v>9975</v>
      </c>
      <c r="N20" t="s">
        <v>134</v>
      </c>
      <c r="O20" t="s">
        <v>135</v>
      </c>
      <c r="P20" t="s">
        <v>135</v>
      </c>
      <c r="Q20" t="s">
        <v>138</v>
      </c>
      <c r="R20">
        <v>2</v>
      </c>
      <c r="S20">
        <v>2026</v>
      </c>
      <c r="T20">
        <v>10500</v>
      </c>
    </row>
    <row r="21" spans="1:20" x14ac:dyDescent="0.3">
      <c r="A21" t="s">
        <v>75</v>
      </c>
      <c r="B21" s="11">
        <v>46073</v>
      </c>
      <c r="C21" t="s">
        <v>31</v>
      </c>
      <c r="D21" t="s">
        <v>32</v>
      </c>
      <c r="E21" t="s">
        <v>33</v>
      </c>
      <c r="F21" t="s">
        <v>16</v>
      </c>
      <c r="G21" t="s">
        <v>45</v>
      </c>
      <c r="H21">
        <v>2</v>
      </c>
      <c r="I21">
        <v>8000</v>
      </c>
      <c r="J21">
        <v>0.05</v>
      </c>
      <c r="K21" t="s">
        <v>24</v>
      </c>
      <c r="L21" t="s">
        <v>19</v>
      </c>
      <c r="M21">
        <v>15200</v>
      </c>
      <c r="N21" t="s">
        <v>134</v>
      </c>
      <c r="O21" t="s">
        <v>135</v>
      </c>
      <c r="P21" t="s">
        <v>135</v>
      </c>
      <c r="Q21" t="s">
        <v>138</v>
      </c>
      <c r="R21">
        <v>2</v>
      </c>
      <c r="S21">
        <v>2026</v>
      </c>
      <c r="T21">
        <v>16000</v>
      </c>
    </row>
    <row r="22" spans="1:20" x14ac:dyDescent="0.3">
      <c r="A22" t="s">
        <v>76</v>
      </c>
      <c r="B22" s="11">
        <v>46075</v>
      </c>
      <c r="C22" t="s">
        <v>37</v>
      </c>
      <c r="D22" t="s">
        <v>38</v>
      </c>
      <c r="E22" t="s">
        <v>39</v>
      </c>
      <c r="F22" t="s">
        <v>48</v>
      </c>
      <c r="G22" t="s">
        <v>57</v>
      </c>
      <c r="H22">
        <v>1</v>
      </c>
      <c r="I22">
        <v>3000</v>
      </c>
      <c r="J22">
        <v>0</v>
      </c>
      <c r="K22" t="s">
        <v>35</v>
      </c>
      <c r="L22" t="s">
        <v>19</v>
      </c>
      <c r="M22">
        <v>3000</v>
      </c>
      <c r="N22" t="s">
        <v>134</v>
      </c>
      <c r="O22" t="s">
        <v>135</v>
      </c>
      <c r="P22" t="s">
        <v>135</v>
      </c>
      <c r="Q22" t="s">
        <v>138</v>
      </c>
      <c r="R22">
        <v>2</v>
      </c>
      <c r="S22">
        <v>2026</v>
      </c>
      <c r="T22">
        <v>3000</v>
      </c>
    </row>
    <row r="23" spans="1:20" x14ac:dyDescent="0.3">
      <c r="A23" t="s">
        <v>77</v>
      </c>
      <c r="B23" s="11">
        <v>46078</v>
      </c>
      <c r="C23" t="s">
        <v>43</v>
      </c>
      <c r="D23" t="s">
        <v>44</v>
      </c>
      <c r="E23" t="s">
        <v>33</v>
      </c>
      <c r="F23" t="s">
        <v>16</v>
      </c>
      <c r="G23" t="s">
        <v>54</v>
      </c>
      <c r="H23">
        <v>2</v>
      </c>
      <c r="I23">
        <v>45000</v>
      </c>
      <c r="J23">
        <v>0.08</v>
      </c>
      <c r="K23" t="s">
        <v>18</v>
      </c>
      <c r="L23" t="s">
        <v>19</v>
      </c>
      <c r="M23">
        <v>82800</v>
      </c>
      <c r="N23" t="s">
        <v>142</v>
      </c>
      <c r="O23" t="s">
        <v>113</v>
      </c>
      <c r="P23" t="s">
        <v>135</v>
      </c>
      <c r="Q23" t="s">
        <v>138</v>
      </c>
      <c r="R23">
        <v>2</v>
      </c>
      <c r="S23">
        <v>2026</v>
      </c>
      <c r="T23">
        <v>90000</v>
      </c>
    </row>
    <row r="24" spans="1:20" x14ac:dyDescent="0.3">
      <c r="A24" t="s">
        <v>78</v>
      </c>
      <c r="B24" s="11">
        <v>46080</v>
      </c>
      <c r="C24" t="s">
        <v>47</v>
      </c>
      <c r="D24" t="s">
        <v>14</v>
      </c>
      <c r="E24" t="s">
        <v>15</v>
      </c>
      <c r="F24" t="s">
        <v>28</v>
      </c>
      <c r="G24" t="s">
        <v>61</v>
      </c>
      <c r="H24">
        <v>2</v>
      </c>
      <c r="I24">
        <v>2200</v>
      </c>
      <c r="J24">
        <v>0.1</v>
      </c>
      <c r="K24" t="s">
        <v>24</v>
      </c>
      <c r="L24" t="s">
        <v>19</v>
      </c>
      <c r="M24">
        <v>3960</v>
      </c>
      <c r="N24" t="s">
        <v>134</v>
      </c>
      <c r="O24" t="s">
        <v>135</v>
      </c>
      <c r="P24" t="s">
        <v>135</v>
      </c>
      <c r="Q24" t="s">
        <v>138</v>
      </c>
      <c r="R24">
        <v>2</v>
      </c>
      <c r="S24">
        <v>2026</v>
      </c>
      <c r="T24">
        <v>4400</v>
      </c>
    </row>
    <row r="25" spans="1:20" x14ac:dyDescent="0.3">
      <c r="A25" t="s">
        <v>79</v>
      </c>
      <c r="B25" s="11">
        <v>46082</v>
      </c>
      <c r="C25" t="s">
        <v>51</v>
      </c>
      <c r="D25" t="s">
        <v>52</v>
      </c>
      <c r="E25" t="s">
        <v>53</v>
      </c>
      <c r="F25" t="s">
        <v>16</v>
      </c>
      <c r="G25" t="s">
        <v>34</v>
      </c>
      <c r="H25">
        <v>4</v>
      </c>
      <c r="I25">
        <v>2500</v>
      </c>
      <c r="J25">
        <v>0.05</v>
      </c>
      <c r="K25" t="s">
        <v>18</v>
      </c>
      <c r="L25" t="s">
        <v>19</v>
      </c>
      <c r="M25">
        <v>9500</v>
      </c>
      <c r="N25" t="s">
        <v>134</v>
      </c>
      <c r="O25" t="s">
        <v>135</v>
      </c>
      <c r="P25" t="s">
        <v>135</v>
      </c>
      <c r="Q25" t="s">
        <v>136</v>
      </c>
      <c r="R25">
        <v>3</v>
      </c>
      <c r="S25">
        <v>2026</v>
      </c>
      <c r="T25">
        <v>10000</v>
      </c>
    </row>
    <row r="26" spans="1:20" x14ac:dyDescent="0.3">
      <c r="A26" t="s">
        <v>81</v>
      </c>
      <c r="B26" s="11">
        <v>46086</v>
      </c>
      <c r="C26" t="s">
        <v>60</v>
      </c>
      <c r="D26" t="s">
        <v>38</v>
      </c>
      <c r="E26" t="s">
        <v>39</v>
      </c>
      <c r="F26" t="s">
        <v>28</v>
      </c>
      <c r="G26" t="s">
        <v>40</v>
      </c>
      <c r="H26">
        <v>3</v>
      </c>
      <c r="I26">
        <v>1200</v>
      </c>
      <c r="J26">
        <v>0.1</v>
      </c>
      <c r="K26" t="s">
        <v>35</v>
      </c>
      <c r="L26" t="s">
        <v>19</v>
      </c>
      <c r="M26">
        <v>3240</v>
      </c>
      <c r="N26" t="s">
        <v>134</v>
      </c>
      <c r="O26" t="s">
        <v>135</v>
      </c>
      <c r="P26" t="s">
        <v>135</v>
      </c>
      <c r="Q26" t="s">
        <v>136</v>
      </c>
      <c r="R26">
        <v>3</v>
      </c>
      <c r="S26">
        <v>2026</v>
      </c>
      <c r="T26">
        <v>3600</v>
      </c>
    </row>
    <row r="27" spans="1:20" x14ac:dyDescent="0.3">
      <c r="A27" t="s">
        <v>82</v>
      </c>
      <c r="B27" s="11">
        <v>46089</v>
      </c>
      <c r="C27" t="s">
        <v>13</v>
      </c>
      <c r="D27" t="s">
        <v>14</v>
      </c>
      <c r="E27" t="s">
        <v>15</v>
      </c>
      <c r="F27" t="s">
        <v>16</v>
      </c>
      <c r="G27" t="s">
        <v>23</v>
      </c>
      <c r="H27">
        <v>2</v>
      </c>
      <c r="I27">
        <v>25000</v>
      </c>
      <c r="J27">
        <v>0.05</v>
      </c>
      <c r="K27" t="s">
        <v>24</v>
      </c>
      <c r="L27" t="s">
        <v>19</v>
      </c>
      <c r="M27">
        <v>47500</v>
      </c>
      <c r="N27" t="s">
        <v>142</v>
      </c>
      <c r="O27" t="s">
        <v>113</v>
      </c>
      <c r="P27" t="s">
        <v>135</v>
      </c>
      <c r="Q27" t="s">
        <v>136</v>
      </c>
      <c r="R27">
        <v>3</v>
      </c>
      <c r="S27">
        <v>2026</v>
      </c>
      <c r="T27">
        <v>50000</v>
      </c>
    </row>
    <row r="28" spans="1:20" x14ac:dyDescent="0.3">
      <c r="A28" t="s">
        <v>83</v>
      </c>
      <c r="B28" s="11">
        <v>46091</v>
      </c>
      <c r="C28" t="s">
        <v>21</v>
      </c>
      <c r="D28" t="s">
        <v>22</v>
      </c>
      <c r="E28" t="s">
        <v>15</v>
      </c>
      <c r="F28" t="s">
        <v>48</v>
      </c>
      <c r="G28" t="s">
        <v>57</v>
      </c>
      <c r="H28">
        <v>3</v>
      </c>
      <c r="I28">
        <v>3000</v>
      </c>
      <c r="J28">
        <v>0.05</v>
      </c>
      <c r="K28" t="s">
        <v>18</v>
      </c>
      <c r="L28" t="s">
        <v>19</v>
      </c>
      <c r="M28">
        <v>8550</v>
      </c>
      <c r="N28" t="s">
        <v>134</v>
      </c>
      <c r="O28" t="s">
        <v>135</v>
      </c>
      <c r="P28" t="s">
        <v>135</v>
      </c>
      <c r="Q28" t="s">
        <v>136</v>
      </c>
      <c r="R28">
        <v>3</v>
      </c>
      <c r="S28">
        <v>2026</v>
      </c>
      <c r="T28">
        <v>9000</v>
      </c>
    </row>
    <row r="29" spans="1:20" x14ac:dyDescent="0.3">
      <c r="A29" t="s">
        <v>84</v>
      </c>
      <c r="B29" s="11">
        <v>46093</v>
      </c>
      <c r="C29" t="s">
        <v>26</v>
      </c>
      <c r="D29" t="s">
        <v>27</v>
      </c>
      <c r="E29" t="s">
        <v>15</v>
      </c>
      <c r="F29" t="s">
        <v>28</v>
      </c>
      <c r="G29" t="s">
        <v>29</v>
      </c>
      <c r="H29">
        <v>2</v>
      </c>
      <c r="I29">
        <v>3500</v>
      </c>
      <c r="J29">
        <v>0.05</v>
      </c>
      <c r="K29" t="s">
        <v>24</v>
      </c>
      <c r="L29" t="s">
        <v>19</v>
      </c>
      <c r="M29">
        <v>6650</v>
      </c>
      <c r="N29" t="s">
        <v>134</v>
      </c>
      <c r="O29" t="s">
        <v>135</v>
      </c>
      <c r="P29" t="s">
        <v>135</v>
      </c>
      <c r="Q29" t="s">
        <v>136</v>
      </c>
      <c r="R29">
        <v>3</v>
      </c>
      <c r="S29">
        <v>2026</v>
      </c>
      <c r="T29">
        <v>7000</v>
      </c>
    </row>
    <row r="30" spans="1:20" x14ac:dyDescent="0.3">
      <c r="A30" t="s">
        <v>85</v>
      </c>
      <c r="B30" s="11">
        <v>46096</v>
      </c>
      <c r="C30" t="s">
        <v>31</v>
      </c>
      <c r="D30" t="s">
        <v>32</v>
      </c>
      <c r="E30" t="s">
        <v>33</v>
      </c>
      <c r="F30" t="s">
        <v>16</v>
      </c>
      <c r="G30" t="s">
        <v>17</v>
      </c>
      <c r="H30">
        <v>2</v>
      </c>
      <c r="I30">
        <v>55000</v>
      </c>
      <c r="J30">
        <v>0.1</v>
      </c>
      <c r="K30" t="s">
        <v>18</v>
      </c>
      <c r="L30" t="s">
        <v>19</v>
      </c>
      <c r="M30">
        <v>99000</v>
      </c>
      <c r="N30" t="s">
        <v>142</v>
      </c>
      <c r="O30" t="s">
        <v>113</v>
      </c>
      <c r="P30" t="s">
        <v>135</v>
      </c>
      <c r="Q30" t="s">
        <v>136</v>
      </c>
      <c r="R30">
        <v>3</v>
      </c>
      <c r="S30">
        <v>2026</v>
      </c>
      <c r="T30">
        <v>110000</v>
      </c>
    </row>
    <row r="31" spans="1:20" x14ac:dyDescent="0.3">
      <c r="A31" t="s">
        <v>87</v>
      </c>
      <c r="B31" s="11">
        <v>46101</v>
      </c>
      <c r="C31" t="s">
        <v>43</v>
      </c>
      <c r="D31" t="s">
        <v>44</v>
      </c>
      <c r="E31" t="s">
        <v>33</v>
      </c>
      <c r="F31" t="s">
        <v>16</v>
      </c>
      <c r="G31" t="s">
        <v>45</v>
      </c>
      <c r="H31">
        <v>1</v>
      </c>
      <c r="I31">
        <v>8000</v>
      </c>
      <c r="J31">
        <v>0.05</v>
      </c>
      <c r="K31" t="s">
        <v>24</v>
      </c>
      <c r="L31" t="s">
        <v>19</v>
      </c>
      <c r="M31">
        <v>7600</v>
      </c>
      <c r="N31" t="s">
        <v>134</v>
      </c>
      <c r="O31" t="s">
        <v>135</v>
      </c>
      <c r="P31" t="s">
        <v>135</v>
      </c>
      <c r="Q31" t="s">
        <v>136</v>
      </c>
      <c r="R31">
        <v>3</v>
      </c>
      <c r="S31">
        <v>2026</v>
      </c>
      <c r="T31">
        <v>8000</v>
      </c>
    </row>
    <row r="32" spans="1:20" x14ac:dyDescent="0.3">
      <c r="A32" t="s">
        <v>88</v>
      </c>
      <c r="B32" s="11">
        <v>46103</v>
      </c>
      <c r="C32" t="s">
        <v>47</v>
      </c>
      <c r="D32" t="s">
        <v>14</v>
      </c>
      <c r="E32" t="s">
        <v>15</v>
      </c>
      <c r="F32" t="s">
        <v>28</v>
      </c>
      <c r="G32" t="s">
        <v>40</v>
      </c>
      <c r="H32">
        <v>4</v>
      </c>
      <c r="I32">
        <v>1200</v>
      </c>
      <c r="J32">
        <v>0.1</v>
      </c>
      <c r="K32" t="s">
        <v>18</v>
      </c>
      <c r="L32" t="s">
        <v>19</v>
      </c>
      <c r="M32">
        <v>4320</v>
      </c>
      <c r="N32" t="s">
        <v>134</v>
      </c>
      <c r="O32" t="s">
        <v>135</v>
      </c>
      <c r="P32" t="s">
        <v>135</v>
      </c>
      <c r="Q32" t="s">
        <v>136</v>
      </c>
      <c r="R32">
        <v>3</v>
      </c>
      <c r="S32">
        <v>2026</v>
      </c>
      <c r="T32">
        <v>4800</v>
      </c>
    </row>
    <row r="33" spans="1:20" x14ac:dyDescent="0.3">
      <c r="A33" t="s">
        <v>89</v>
      </c>
      <c r="B33" s="11">
        <v>46106</v>
      </c>
      <c r="C33" t="s">
        <v>51</v>
      </c>
      <c r="D33" t="s">
        <v>52</v>
      </c>
      <c r="E33" t="s">
        <v>53</v>
      </c>
      <c r="F33" t="s">
        <v>16</v>
      </c>
      <c r="G33" t="s">
        <v>54</v>
      </c>
      <c r="H33">
        <v>1</v>
      </c>
      <c r="I33">
        <v>45000</v>
      </c>
      <c r="J33">
        <v>0.08</v>
      </c>
      <c r="K33" t="s">
        <v>24</v>
      </c>
      <c r="L33" t="s">
        <v>19</v>
      </c>
      <c r="M33">
        <v>41400</v>
      </c>
      <c r="N33" t="s">
        <v>142</v>
      </c>
      <c r="O33" t="s">
        <v>113</v>
      </c>
      <c r="P33" t="s">
        <v>135</v>
      </c>
      <c r="Q33" t="s">
        <v>136</v>
      </c>
      <c r="R33">
        <v>3</v>
      </c>
      <c r="S33">
        <v>2026</v>
      </c>
      <c r="T33">
        <v>45000</v>
      </c>
    </row>
    <row r="34" spans="1:20" x14ac:dyDescent="0.3">
      <c r="A34" t="s">
        <v>91</v>
      </c>
      <c r="B34" s="11">
        <v>46111</v>
      </c>
      <c r="C34" t="s">
        <v>60</v>
      </c>
      <c r="D34" t="s">
        <v>38</v>
      </c>
      <c r="E34" t="s">
        <v>39</v>
      </c>
      <c r="F34" t="s">
        <v>28</v>
      </c>
      <c r="G34" t="s">
        <v>61</v>
      </c>
      <c r="H34">
        <v>2</v>
      </c>
      <c r="I34">
        <v>2200</v>
      </c>
      <c r="J34">
        <v>0.1</v>
      </c>
      <c r="K34" t="s">
        <v>35</v>
      </c>
      <c r="L34" t="s">
        <v>19</v>
      </c>
      <c r="M34">
        <v>3960</v>
      </c>
      <c r="N34" t="s">
        <v>134</v>
      </c>
      <c r="O34" t="s">
        <v>135</v>
      </c>
      <c r="P34" t="s">
        <v>135</v>
      </c>
      <c r="Q34" t="s">
        <v>136</v>
      </c>
      <c r="R34">
        <v>3</v>
      </c>
      <c r="S34">
        <v>2026</v>
      </c>
      <c r="T34">
        <v>4400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1"/>
  <sheetViews>
    <sheetView zoomScale="94" zoomScaleNormal="94" workbookViewId="0">
      <pane ySplit="1" topLeftCell="A2" activePane="bottomLeft" state="frozen"/>
      <selection activeCell="C1" sqref="C1"/>
      <selection pane="bottomLeft" sqref="A1:S1"/>
    </sheetView>
  </sheetViews>
  <sheetFormatPr defaultRowHeight="14.4" x14ac:dyDescent="0.3"/>
  <cols>
    <col min="1" max="1" width="8.21875" customWidth="1"/>
    <col min="2" max="2" width="21" customWidth="1"/>
    <col min="3" max="4" width="11" customWidth="1"/>
    <col min="5" max="5" width="8.6640625" customWidth="1"/>
    <col min="6" max="6" width="13" customWidth="1"/>
    <col min="7" max="7" width="12" customWidth="1"/>
    <col min="8" max="8" width="10.21875" customWidth="1"/>
    <col min="9" max="9" width="12" customWidth="1"/>
    <col min="10" max="10" width="10.21875" customWidth="1"/>
    <col min="11" max="11" width="15.77734375" customWidth="1"/>
    <col min="12" max="12" width="14" customWidth="1"/>
  </cols>
  <sheetData>
    <row r="1" spans="1:19" x14ac:dyDescent="0.3">
      <c r="A1" s="7" t="s">
        <v>0</v>
      </c>
      <c r="B1" s="4" t="s">
        <v>1</v>
      </c>
      <c r="C1" s="4" t="s">
        <v>2</v>
      </c>
      <c r="D1" s="4" t="s">
        <v>3</v>
      </c>
      <c r="E1" s="4" t="s">
        <v>4</v>
      </c>
      <c r="F1" s="4" t="s">
        <v>5</v>
      </c>
      <c r="G1" s="4" t="s">
        <v>6</v>
      </c>
      <c r="H1" s="4" t="s">
        <v>7</v>
      </c>
      <c r="I1" s="4" t="s">
        <v>8</v>
      </c>
      <c r="J1" s="4" t="s">
        <v>9</v>
      </c>
      <c r="K1" s="4" t="s">
        <v>10</v>
      </c>
      <c r="L1" s="4" t="s">
        <v>11</v>
      </c>
      <c r="M1" s="7" t="s">
        <v>99</v>
      </c>
      <c r="N1" s="4" t="s">
        <v>112</v>
      </c>
      <c r="O1" s="4" t="s">
        <v>115</v>
      </c>
      <c r="P1" s="4" t="s">
        <v>116</v>
      </c>
      <c r="Q1" s="4" t="s">
        <v>117</v>
      </c>
      <c r="R1" s="4" t="s">
        <v>118</v>
      </c>
      <c r="S1" s="4" t="s">
        <v>119</v>
      </c>
    </row>
    <row r="2" spans="1:19" x14ac:dyDescent="0.3">
      <c r="A2" t="s">
        <v>12</v>
      </c>
      <c r="B2" s="1">
        <v>46023</v>
      </c>
      <c r="C2" t="s">
        <v>13</v>
      </c>
      <c r="D2" t="s">
        <v>14</v>
      </c>
      <c r="E2" t="s">
        <v>15</v>
      </c>
      <c r="F2" t="s">
        <v>16</v>
      </c>
      <c r="G2" t="s">
        <v>17</v>
      </c>
      <c r="H2">
        <v>1</v>
      </c>
      <c r="I2" s="2">
        <v>55000</v>
      </c>
      <c r="J2" s="3">
        <v>0.05</v>
      </c>
      <c r="K2" t="s">
        <v>18</v>
      </c>
      <c r="L2" t="s">
        <v>19</v>
      </c>
      <c r="M2">
        <f t="shared" ref="M2:M41" si="0">H2*I2*(1-J2)</f>
        <v>52250</v>
      </c>
      <c r="N2" t="str">
        <f>IF(M2&gt;=20000,"high","low")</f>
        <v>high</v>
      </c>
      <c r="O2" t="str">
        <f t="shared" ref="O2:O41" si="1">IF(AND(M2&gt;=20000,L2="delivered"),"priority","normal")</f>
        <v>priority</v>
      </c>
      <c r="P2" t="str">
        <f t="shared" ref="P2:P41" si="2">IF(OR(L2="cancelled",L2="pending"),"attention","normal")</f>
        <v>normal</v>
      </c>
      <c r="Q2" t="str">
        <f>TEXT(B2,"mmmm")</f>
        <v>January</v>
      </c>
      <c r="R2">
        <f>MONTH(B2)</f>
        <v>1</v>
      </c>
      <c r="S2">
        <f>YEAR(B2)</f>
        <v>2026</v>
      </c>
    </row>
    <row r="3" spans="1:19" x14ac:dyDescent="0.3">
      <c r="A3" t="s">
        <v>20</v>
      </c>
      <c r="B3" s="1">
        <v>46024</v>
      </c>
      <c r="C3" t="s">
        <v>21</v>
      </c>
      <c r="D3" t="s">
        <v>22</v>
      </c>
      <c r="E3" t="s">
        <v>15</v>
      </c>
      <c r="F3" t="s">
        <v>16</v>
      </c>
      <c r="G3" t="s">
        <v>23</v>
      </c>
      <c r="H3">
        <v>2</v>
      </c>
      <c r="I3" s="2">
        <v>25000</v>
      </c>
      <c r="J3" s="3">
        <v>0.1</v>
      </c>
      <c r="K3" t="s">
        <v>24</v>
      </c>
      <c r="L3" t="s">
        <v>19</v>
      </c>
      <c r="M3">
        <f t="shared" si="0"/>
        <v>45000</v>
      </c>
      <c r="N3" t="str">
        <f t="shared" ref="N3:N41" si="3">IF(M3&gt;=20000,"high","low")</f>
        <v>high</v>
      </c>
      <c r="O3" t="str">
        <f t="shared" si="1"/>
        <v>priority</v>
      </c>
      <c r="P3" t="str">
        <f t="shared" si="2"/>
        <v>normal</v>
      </c>
      <c r="Q3" t="str">
        <f t="shared" ref="Q3:Q41" si="4">TEXT(B3,"mmmm")</f>
        <v>January</v>
      </c>
      <c r="R3">
        <f t="shared" ref="R3:R41" si="5">MONTH(B3)</f>
        <v>1</v>
      </c>
      <c r="S3">
        <f t="shared" ref="S3:S41" si="6">YEAR(B3)</f>
        <v>2026</v>
      </c>
    </row>
    <row r="4" spans="1:19" x14ac:dyDescent="0.3">
      <c r="A4" t="s">
        <v>25</v>
      </c>
      <c r="B4" s="1">
        <v>46025</v>
      </c>
      <c r="C4" t="s">
        <v>26</v>
      </c>
      <c r="D4" t="s">
        <v>27</v>
      </c>
      <c r="E4" t="s">
        <v>15</v>
      </c>
      <c r="F4" t="s">
        <v>28</v>
      </c>
      <c r="G4" t="s">
        <v>29</v>
      </c>
      <c r="H4">
        <v>2</v>
      </c>
      <c r="I4" s="2">
        <v>3500</v>
      </c>
      <c r="J4" s="3">
        <v>0.05</v>
      </c>
      <c r="K4" t="s">
        <v>18</v>
      </c>
      <c r="L4" t="s">
        <v>19</v>
      </c>
      <c r="M4">
        <f t="shared" si="0"/>
        <v>6650</v>
      </c>
      <c r="N4" t="str">
        <f t="shared" si="3"/>
        <v>low</v>
      </c>
      <c r="O4" t="str">
        <f t="shared" si="1"/>
        <v>normal</v>
      </c>
      <c r="P4" t="str">
        <f t="shared" si="2"/>
        <v>normal</v>
      </c>
      <c r="Q4" t="str">
        <f t="shared" si="4"/>
        <v>January</v>
      </c>
      <c r="R4">
        <f t="shared" si="5"/>
        <v>1</v>
      </c>
      <c r="S4">
        <f t="shared" si="6"/>
        <v>2026</v>
      </c>
    </row>
    <row r="5" spans="1:19" x14ac:dyDescent="0.3">
      <c r="A5" t="s">
        <v>30</v>
      </c>
      <c r="B5" s="1">
        <v>46027</v>
      </c>
      <c r="C5" t="s">
        <v>31</v>
      </c>
      <c r="D5" t="s">
        <v>32</v>
      </c>
      <c r="E5" t="s">
        <v>33</v>
      </c>
      <c r="F5" t="s">
        <v>16</v>
      </c>
      <c r="G5" t="s">
        <v>34</v>
      </c>
      <c r="H5">
        <v>3</v>
      </c>
      <c r="I5" s="2">
        <v>2500</v>
      </c>
      <c r="J5" s="3">
        <v>0</v>
      </c>
      <c r="K5" t="s">
        <v>35</v>
      </c>
      <c r="L5" t="s">
        <v>19</v>
      </c>
      <c r="M5">
        <f t="shared" si="0"/>
        <v>7500</v>
      </c>
      <c r="N5" t="str">
        <f t="shared" si="3"/>
        <v>low</v>
      </c>
      <c r="O5" t="str">
        <f t="shared" si="1"/>
        <v>normal</v>
      </c>
      <c r="P5" t="str">
        <f t="shared" si="2"/>
        <v>normal</v>
      </c>
      <c r="Q5" t="str">
        <f t="shared" si="4"/>
        <v>January</v>
      </c>
      <c r="R5">
        <f t="shared" si="5"/>
        <v>1</v>
      </c>
      <c r="S5">
        <f t="shared" si="6"/>
        <v>2026</v>
      </c>
    </row>
    <row r="6" spans="1:19" x14ac:dyDescent="0.3">
      <c r="A6" t="s">
        <v>36</v>
      </c>
      <c r="B6" s="1">
        <v>46029</v>
      </c>
      <c r="C6" t="s">
        <v>37</v>
      </c>
      <c r="D6" t="s">
        <v>38</v>
      </c>
      <c r="E6" t="s">
        <v>39</v>
      </c>
      <c r="F6" t="s">
        <v>28</v>
      </c>
      <c r="G6" t="s">
        <v>40</v>
      </c>
      <c r="H6">
        <v>4</v>
      </c>
      <c r="I6" s="2">
        <v>1200</v>
      </c>
      <c r="J6" s="3">
        <v>0.1</v>
      </c>
      <c r="K6" t="s">
        <v>24</v>
      </c>
      <c r="L6" t="s">
        <v>41</v>
      </c>
      <c r="M6">
        <f t="shared" si="0"/>
        <v>4320</v>
      </c>
      <c r="N6" t="str">
        <f t="shared" si="3"/>
        <v>low</v>
      </c>
      <c r="O6" t="str">
        <f t="shared" si="1"/>
        <v>normal</v>
      </c>
      <c r="P6" t="str">
        <f t="shared" si="2"/>
        <v>attention</v>
      </c>
      <c r="Q6" t="str">
        <f t="shared" si="4"/>
        <v>January</v>
      </c>
      <c r="R6">
        <f t="shared" si="5"/>
        <v>1</v>
      </c>
      <c r="S6">
        <f t="shared" si="6"/>
        <v>2026</v>
      </c>
    </row>
    <row r="7" spans="1:19" x14ac:dyDescent="0.3">
      <c r="A7" t="s">
        <v>42</v>
      </c>
      <c r="B7" s="1">
        <v>46031</v>
      </c>
      <c r="C7" t="s">
        <v>43</v>
      </c>
      <c r="D7" t="s">
        <v>44</v>
      </c>
      <c r="E7" t="s">
        <v>33</v>
      </c>
      <c r="F7" t="s">
        <v>16</v>
      </c>
      <c r="G7" t="s">
        <v>45</v>
      </c>
      <c r="H7">
        <v>1</v>
      </c>
      <c r="I7" s="2">
        <v>8000</v>
      </c>
      <c r="J7" s="3">
        <v>0.05</v>
      </c>
      <c r="K7" t="s">
        <v>18</v>
      </c>
      <c r="L7" t="s">
        <v>19</v>
      </c>
      <c r="M7">
        <f t="shared" si="0"/>
        <v>7600</v>
      </c>
      <c r="N7" t="str">
        <f t="shared" si="3"/>
        <v>low</v>
      </c>
      <c r="O7" t="str">
        <f t="shared" si="1"/>
        <v>normal</v>
      </c>
      <c r="P7" t="str">
        <f t="shared" si="2"/>
        <v>normal</v>
      </c>
      <c r="Q7" t="str">
        <f t="shared" si="4"/>
        <v>January</v>
      </c>
      <c r="R7">
        <f t="shared" si="5"/>
        <v>1</v>
      </c>
      <c r="S7">
        <f t="shared" si="6"/>
        <v>2026</v>
      </c>
    </row>
    <row r="8" spans="1:19" x14ac:dyDescent="0.3">
      <c r="A8" t="s">
        <v>46</v>
      </c>
      <c r="B8" s="1">
        <v>46033</v>
      </c>
      <c r="C8" t="s">
        <v>47</v>
      </c>
      <c r="D8" t="s">
        <v>14</v>
      </c>
      <c r="E8" t="s">
        <v>15</v>
      </c>
      <c r="F8" t="s">
        <v>48</v>
      </c>
      <c r="G8" t="s">
        <v>49</v>
      </c>
      <c r="H8">
        <v>2</v>
      </c>
      <c r="I8" s="2">
        <v>1800</v>
      </c>
      <c r="J8" s="3">
        <v>0</v>
      </c>
      <c r="K8" t="s">
        <v>18</v>
      </c>
      <c r="L8" t="s">
        <v>19</v>
      </c>
      <c r="M8">
        <f t="shared" si="0"/>
        <v>3600</v>
      </c>
      <c r="N8" t="str">
        <f t="shared" si="3"/>
        <v>low</v>
      </c>
      <c r="O8" t="str">
        <f t="shared" si="1"/>
        <v>normal</v>
      </c>
      <c r="P8" t="str">
        <f t="shared" si="2"/>
        <v>normal</v>
      </c>
      <c r="Q8" t="str">
        <f t="shared" si="4"/>
        <v>January</v>
      </c>
      <c r="R8">
        <f t="shared" si="5"/>
        <v>1</v>
      </c>
      <c r="S8">
        <f t="shared" si="6"/>
        <v>2026</v>
      </c>
    </row>
    <row r="9" spans="1:19" x14ac:dyDescent="0.3">
      <c r="A9" t="s">
        <v>50</v>
      </c>
      <c r="B9" s="1">
        <v>46035</v>
      </c>
      <c r="C9" t="s">
        <v>51</v>
      </c>
      <c r="D9" t="s">
        <v>52</v>
      </c>
      <c r="E9" t="s">
        <v>53</v>
      </c>
      <c r="F9" t="s">
        <v>16</v>
      </c>
      <c r="G9" t="s">
        <v>54</v>
      </c>
      <c r="H9">
        <v>1</v>
      </c>
      <c r="I9" s="2">
        <v>45000</v>
      </c>
      <c r="J9" s="3">
        <v>0.08</v>
      </c>
      <c r="K9" t="s">
        <v>24</v>
      </c>
      <c r="L9" t="s">
        <v>19</v>
      </c>
      <c r="M9">
        <f t="shared" si="0"/>
        <v>41400</v>
      </c>
      <c r="N9" t="str">
        <f t="shared" si="3"/>
        <v>high</v>
      </c>
      <c r="O9" t="str">
        <f t="shared" si="1"/>
        <v>priority</v>
      </c>
      <c r="P9" t="str">
        <f t="shared" si="2"/>
        <v>normal</v>
      </c>
      <c r="Q9" t="str">
        <f t="shared" si="4"/>
        <v>January</v>
      </c>
      <c r="R9">
        <f t="shared" si="5"/>
        <v>1</v>
      </c>
      <c r="S9">
        <f t="shared" si="6"/>
        <v>2026</v>
      </c>
    </row>
    <row r="10" spans="1:19" x14ac:dyDescent="0.3">
      <c r="A10" t="s">
        <v>55</v>
      </c>
      <c r="B10" s="1">
        <v>46037</v>
      </c>
      <c r="C10" t="s">
        <v>56</v>
      </c>
      <c r="D10" t="s">
        <v>22</v>
      </c>
      <c r="E10" t="s">
        <v>15</v>
      </c>
      <c r="F10" t="s">
        <v>48</v>
      </c>
      <c r="G10" t="s">
        <v>57</v>
      </c>
      <c r="H10">
        <v>2</v>
      </c>
      <c r="I10" s="2">
        <v>3000</v>
      </c>
      <c r="J10" s="3">
        <v>0.05</v>
      </c>
      <c r="K10" t="s">
        <v>18</v>
      </c>
      <c r="L10" t="s">
        <v>58</v>
      </c>
      <c r="M10">
        <f t="shared" si="0"/>
        <v>5700</v>
      </c>
      <c r="N10" t="str">
        <f t="shared" si="3"/>
        <v>low</v>
      </c>
      <c r="O10" t="str">
        <f t="shared" si="1"/>
        <v>normal</v>
      </c>
      <c r="P10" t="str">
        <f t="shared" si="2"/>
        <v>attention</v>
      </c>
      <c r="Q10" t="str">
        <f t="shared" si="4"/>
        <v>January</v>
      </c>
      <c r="R10">
        <f t="shared" si="5"/>
        <v>1</v>
      </c>
      <c r="S10">
        <f t="shared" si="6"/>
        <v>2026</v>
      </c>
    </row>
    <row r="11" spans="1:19" x14ac:dyDescent="0.3">
      <c r="A11" t="s">
        <v>59</v>
      </c>
      <c r="B11" s="1">
        <v>46040</v>
      </c>
      <c r="C11" t="s">
        <v>60</v>
      </c>
      <c r="D11" t="s">
        <v>38</v>
      </c>
      <c r="E11" t="s">
        <v>39</v>
      </c>
      <c r="F11" t="s">
        <v>28</v>
      </c>
      <c r="G11" t="s">
        <v>61</v>
      </c>
      <c r="H11">
        <v>2</v>
      </c>
      <c r="I11" s="2">
        <v>2200</v>
      </c>
      <c r="J11" s="3">
        <v>0.1</v>
      </c>
      <c r="K11" t="s">
        <v>35</v>
      </c>
      <c r="L11" t="s">
        <v>19</v>
      </c>
      <c r="M11">
        <f t="shared" si="0"/>
        <v>3960</v>
      </c>
      <c r="N11" t="str">
        <f t="shared" si="3"/>
        <v>low</v>
      </c>
      <c r="O11" t="str">
        <f t="shared" si="1"/>
        <v>normal</v>
      </c>
      <c r="P11" t="str">
        <f t="shared" si="2"/>
        <v>normal</v>
      </c>
      <c r="Q11" t="str">
        <f t="shared" si="4"/>
        <v>January</v>
      </c>
      <c r="R11">
        <f t="shared" si="5"/>
        <v>1</v>
      </c>
      <c r="S11">
        <f t="shared" si="6"/>
        <v>2026</v>
      </c>
    </row>
    <row r="12" spans="1:19" x14ac:dyDescent="0.3">
      <c r="A12" t="s">
        <v>62</v>
      </c>
      <c r="B12" s="1">
        <v>46042</v>
      </c>
      <c r="C12" t="s">
        <v>13</v>
      </c>
      <c r="D12" t="s">
        <v>14</v>
      </c>
      <c r="E12" t="s">
        <v>15</v>
      </c>
      <c r="F12" t="s">
        <v>16</v>
      </c>
      <c r="G12" t="s">
        <v>23</v>
      </c>
      <c r="H12">
        <v>1</v>
      </c>
      <c r="I12" s="2">
        <v>25000</v>
      </c>
      <c r="J12" s="3">
        <v>0.05</v>
      </c>
      <c r="K12" t="s">
        <v>24</v>
      </c>
      <c r="L12" t="s">
        <v>19</v>
      </c>
      <c r="M12">
        <f t="shared" si="0"/>
        <v>23750</v>
      </c>
      <c r="N12" t="str">
        <f t="shared" si="3"/>
        <v>high</v>
      </c>
      <c r="O12" t="str">
        <f t="shared" si="1"/>
        <v>priority</v>
      </c>
      <c r="P12" t="str">
        <f t="shared" si="2"/>
        <v>normal</v>
      </c>
      <c r="Q12" t="str">
        <f t="shared" si="4"/>
        <v>January</v>
      </c>
      <c r="R12">
        <f t="shared" si="5"/>
        <v>1</v>
      </c>
      <c r="S12">
        <f t="shared" si="6"/>
        <v>2026</v>
      </c>
    </row>
    <row r="13" spans="1:19" x14ac:dyDescent="0.3">
      <c r="A13" t="s">
        <v>63</v>
      </c>
      <c r="B13" s="1">
        <v>46044</v>
      </c>
      <c r="C13" t="s">
        <v>21</v>
      </c>
      <c r="D13" t="s">
        <v>22</v>
      </c>
      <c r="E13" t="s">
        <v>15</v>
      </c>
      <c r="F13" t="s">
        <v>48</v>
      </c>
      <c r="G13" t="s">
        <v>49</v>
      </c>
      <c r="H13">
        <v>3</v>
      </c>
      <c r="I13" s="2">
        <v>1800</v>
      </c>
      <c r="J13" s="3">
        <v>0</v>
      </c>
      <c r="K13" t="s">
        <v>18</v>
      </c>
      <c r="L13" t="s">
        <v>19</v>
      </c>
      <c r="M13">
        <f t="shared" si="0"/>
        <v>5400</v>
      </c>
      <c r="N13" t="str">
        <f t="shared" si="3"/>
        <v>low</v>
      </c>
      <c r="O13" t="str">
        <f t="shared" si="1"/>
        <v>normal</v>
      </c>
      <c r="P13" t="str">
        <f t="shared" si="2"/>
        <v>normal</v>
      </c>
      <c r="Q13" t="str">
        <f t="shared" si="4"/>
        <v>January</v>
      </c>
      <c r="R13">
        <f t="shared" si="5"/>
        <v>1</v>
      </c>
      <c r="S13">
        <f t="shared" si="6"/>
        <v>2026</v>
      </c>
    </row>
    <row r="14" spans="1:19" x14ac:dyDescent="0.3">
      <c r="A14" t="s">
        <v>64</v>
      </c>
      <c r="B14" s="1">
        <v>46046</v>
      </c>
      <c r="C14" t="s">
        <v>26</v>
      </c>
      <c r="D14" t="s">
        <v>27</v>
      </c>
      <c r="E14" t="s">
        <v>15</v>
      </c>
      <c r="F14" t="s">
        <v>28</v>
      </c>
      <c r="G14" t="s">
        <v>29</v>
      </c>
      <c r="H14">
        <v>1</v>
      </c>
      <c r="I14" s="2">
        <v>3500</v>
      </c>
      <c r="J14" s="3">
        <v>0.05</v>
      </c>
      <c r="K14" t="s">
        <v>24</v>
      </c>
      <c r="L14" t="s">
        <v>19</v>
      </c>
      <c r="M14">
        <f t="shared" si="0"/>
        <v>3325</v>
      </c>
      <c r="N14" t="str">
        <f t="shared" si="3"/>
        <v>low</v>
      </c>
      <c r="O14" t="str">
        <f t="shared" si="1"/>
        <v>normal</v>
      </c>
      <c r="P14" t="str">
        <f t="shared" si="2"/>
        <v>normal</v>
      </c>
      <c r="Q14" t="str">
        <f t="shared" si="4"/>
        <v>January</v>
      </c>
      <c r="R14">
        <f t="shared" si="5"/>
        <v>1</v>
      </c>
      <c r="S14">
        <f t="shared" si="6"/>
        <v>2026</v>
      </c>
    </row>
    <row r="15" spans="1:19" x14ac:dyDescent="0.3">
      <c r="A15" t="s">
        <v>65</v>
      </c>
      <c r="B15" s="1">
        <v>46048</v>
      </c>
      <c r="C15" t="s">
        <v>31</v>
      </c>
      <c r="D15" t="s">
        <v>32</v>
      </c>
      <c r="E15" t="s">
        <v>33</v>
      </c>
      <c r="F15" t="s">
        <v>16</v>
      </c>
      <c r="G15" t="s">
        <v>17</v>
      </c>
      <c r="H15">
        <v>1</v>
      </c>
      <c r="I15" s="2">
        <v>55000</v>
      </c>
      <c r="J15" s="3">
        <v>0.1</v>
      </c>
      <c r="K15" t="s">
        <v>18</v>
      </c>
      <c r="L15" t="s">
        <v>19</v>
      </c>
      <c r="M15">
        <f t="shared" si="0"/>
        <v>49500</v>
      </c>
      <c r="N15" t="str">
        <f t="shared" si="3"/>
        <v>high</v>
      </c>
      <c r="O15" t="str">
        <f t="shared" si="1"/>
        <v>priority</v>
      </c>
      <c r="P15" t="str">
        <f t="shared" si="2"/>
        <v>normal</v>
      </c>
      <c r="Q15" t="str">
        <f t="shared" si="4"/>
        <v>January</v>
      </c>
      <c r="R15">
        <f t="shared" si="5"/>
        <v>1</v>
      </c>
      <c r="S15">
        <f t="shared" si="6"/>
        <v>2026</v>
      </c>
    </row>
    <row r="16" spans="1:19" x14ac:dyDescent="0.3">
      <c r="A16" t="s">
        <v>66</v>
      </c>
      <c r="B16" s="1">
        <v>46050</v>
      </c>
      <c r="C16" t="s">
        <v>37</v>
      </c>
      <c r="D16" t="s">
        <v>38</v>
      </c>
      <c r="E16" t="s">
        <v>39</v>
      </c>
      <c r="F16" t="s">
        <v>48</v>
      </c>
      <c r="G16" t="s">
        <v>57</v>
      </c>
      <c r="H16">
        <v>2</v>
      </c>
      <c r="I16" s="2">
        <v>3000</v>
      </c>
      <c r="J16" s="3">
        <v>0.05</v>
      </c>
      <c r="K16" t="s">
        <v>35</v>
      </c>
      <c r="L16" t="s">
        <v>41</v>
      </c>
      <c r="M16">
        <f t="shared" si="0"/>
        <v>5700</v>
      </c>
      <c r="N16" t="str">
        <f t="shared" si="3"/>
        <v>low</v>
      </c>
      <c r="O16" t="str">
        <f t="shared" si="1"/>
        <v>normal</v>
      </c>
      <c r="P16" t="str">
        <f t="shared" si="2"/>
        <v>attention</v>
      </c>
      <c r="Q16" t="str">
        <f t="shared" si="4"/>
        <v>January</v>
      </c>
      <c r="R16">
        <f t="shared" si="5"/>
        <v>1</v>
      </c>
      <c r="S16">
        <f t="shared" si="6"/>
        <v>2026</v>
      </c>
    </row>
    <row r="17" spans="1:19" x14ac:dyDescent="0.3">
      <c r="A17" t="s">
        <v>67</v>
      </c>
      <c r="B17" s="1">
        <v>46054</v>
      </c>
      <c r="C17" t="s">
        <v>43</v>
      </c>
      <c r="D17" t="s">
        <v>44</v>
      </c>
      <c r="E17" t="s">
        <v>33</v>
      </c>
      <c r="F17" t="s">
        <v>16</v>
      </c>
      <c r="G17" t="s">
        <v>54</v>
      </c>
      <c r="H17">
        <v>1</v>
      </c>
      <c r="I17" s="2">
        <v>45000</v>
      </c>
      <c r="J17" s="3">
        <v>0.08</v>
      </c>
      <c r="K17" t="s">
        <v>24</v>
      </c>
      <c r="L17" t="s">
        <v>19</v>
      </c>
      <c r="M17">
        <f t="shared" si="0"/>
        <v>41400</v>
      </c>
      <c r="N17" t="str">
        <f t="shared" si="3"/>
        <v>high</v>
      </c>
      <c r="O17" t="str">
        <f t="shared" si="1"/>
        <v>priority</v>
      </c>
      <c r="P17" t="str">
        <f t="shared" si="2"/>
        <v>normal</v>
      </c>
      <c r="Q17" t="str">
        <f t="shared" si="4"/>
        <v>February</v>
      </c>
      <c r="R17">
        <f t="shared" si="5"/>
        <v>2</v>
      </c>
      <c r="S17">
        <f t="shared" si="6"/>
        <v>2026</v>
      </c>
    </row>
    <row r="18" spans="1:19" x14ac:dyDescent="0.3">
      <c r="A18" t="s">
        <v>68</v>
      </c>
      <c r="B18" s="1">
        <v>46056</v>
      </c>
      <c r="C18" t="s">
        <v>47</v>
      </c>
      <c r="D18" t="s">
        <v>14</v>
      </c>
      <c r="E18" t="s">
        <v>15</v>
      </c>
      <c r="F18" t="s">
        <v>28</v>
      </c>
      <c r="G18" t="s">
        <v>40</v>
      </c>
      <c r="H18">
        <v>5</v>
      </c>
      <c r="I18" s="2">
        <v>1200</v>
      </c>
      <c r="J18" s="3">
        <v>0.1</v>
      </c>
      <c r="K18" t="s">
        <v>18</v>
      </c>
      <c r="L18" t="s">
        <v>19</v>
      </c>
      <c r="M18">
        <f t="shared" si="0"/>
        <v>5400</v>
      </c>
      <c r="N18" t="str">
        <f t="shared" si="3"/>
        <v>low</v>
      </c>
      <c r="O18" t="str">
        <f t="shared" si="1"/>
        <v>normal</v>
      </c>
      <c r="P18" t="str">
        <f t="shared" si="2"/>
        <v>normal</v>
      </c>
      <c r="Q18" t="str">
        <f t="shared" si="4"/>
        <v>February</v>
      </c>
      <c r="R18">
        <f t="shared" si="5"/>
        <v>2</v>
      </c>
      <c r="S18">
        <f t="shared" si="6"/>
        <v>2026</v>
      </c>
    </row>
    <row r="19" spans="1:19" x14ac:dyDescent="0.3">
      <c r="A19" t="s">
        <v>69</v>
      </c>
      <c r="B19" s="1">
        <v>46058</v>
      </c>
      <c r="C19" t="s">
        <v>51</v>
      </c>
      <c r="D19" t="s">
        <v>52</v>
      </c>
      <c r="E19" t="s">
        <v>53</v>
      </c>
      <c r="F19" t="s">
        <v>16</v>
      </c>
      <c r="G19" t="s">
        <v>34</v>
      </c>
      <c r="H19">
        <v>2</v>
      </c>
      <c r="I19" s="2">
        <v>2500</v>
      </c>
      <c r="J19" s="3">
        <v>0.05</v>
      </c>
      <c r="K19" t="s">
        <v>24</v>
      </c>
      <c r="L19" t="s">
        <v>19</v>
      </c>
      <c r="M19">
        <f t="shared" si="0"/>
        <v>4750</v>
      </c>
      <c r="N19" t="str">
        <f t="shared" si="3"/>
        <v>low</v>
      </c>
      <c r="O19" t="str">
        <f t="shared" si="1"/>
        <v>normal</v>
      </c>
      <c r="P19" t="str">
        <f t="shared" si="2"/>
        <v>normal</v>
      </c>
      <c r="Q19" t="str">
        <f t="shared" si="4"/>
        <v>February</v>
      </c>
      <c r="R19">
        <f t="shared" si="5"/>
        <v>2</v>
      </c>
      <c r="S19">
        <f t="shared" si="6"/>
        <v>2026</v>
      </c>
    </row>
    <row r="20" spans="1:19" x14ac:dyDescent="0.3">
      <c r="A20" t="s">
        <v>70</v>
      </c>
      <c r="B20" s="1">
        <v>46060</v>
      </c>
      <c r="C20" t="s">
        <v>56</v>
      </c>
      <c r="D20" t="s">
        <v>22</v>
      </c>
      <c r="E20" t="s">
        <v>15</v>
      </c>
      <c r="F20" t="s">
        <v>48</v>
      </c>
      <c r="G20" t="s">
        <v>49</v>
      </c>
      <c r="H20">
        <v>1</v>
      </c>
      <c r="I20" s="2">
        <v>1800</v>
      </c>
      <c r="J20" s="3">
        <v>0</v>
      </c>
      <c r="K20" t="s">
        <v>18</v>
      </c>
      <c r="L20" t="s">
        <v>58</v>
      </c>
      <c r="M20">
        <f t="shared" si="0"/>
        <v>1800</v>
      </c>
      <c r="N20" t="str">
        <f t="shared" si="3"/>
        <v>low</v>
      </c>
      <c r="O20" t="str">
        <f t="shared" si="1"/>
        <v>normal</v>
      </c>
      <c r="P20" t="str">
        <f t="shared" si="2"/>
        <v>attention</v>
      </c>
      <c r="Q20" t="str">
        <f t="shared" si="4"/>
        <v>February</v>
      </c>
      <c r="R20">
        <f t="shared" si="5"/>
        <v>2</v>
      </c>
      <c r="S20">
        <f t="shared" si="6"/>
        <v>2026</v>
      </c>
    </row>
    <row r="21" spans="1:19" x14ac:dyDescent="0.3">
      <c r="A21" t="s">
        <v>71</v>
      </c>
      <c r="B21" s="1">
        <v>46063</v>
      </c>
      <c r="C21" t="s">
        <v>60</v>
      </c>
      <c r="D21" t="s">
        <v>38</v>
      </c>
      <c r="E21" t="s">
        <v>39</v>
      </c>
      <c r="F21" t="s">
        <v>28</v>
      </c>
      <c r="G21" t="s">
        <v>61</v>
      </c>
      <c r="H21">
        <v>3</v>
      </c>
      <c r="I21" s="2">
        <v>2200</v>
      </c>
      <c r="J21" s="3">
        <v>0.1</v>
      </c>
      <c r="K21" t="s">
        <v>35</v>
      </c>
      <c r="L21" t="s">
        <v>19</v>
      </c>
      <c r="M21">
        <f t="shared" si="0"/>
        <v>5940</v>
      </c>
      <c r="N21" t="str">
        <f t="shared" si="3"/>
        <v>low</v>
      </c>
      <c r="O21" t="str">
        <f t="shared" si="1"/>
        <v>normal</v>
      </c>
      <c r="P21" t="str">
        <f t="shared" si="2"/>
        <v>normal</v>
      </c>
      <c r="Q21" t="str">
        <f t="shared" si="4"/>
        <v>February</v>
      </c>
      <c r="R21">
        <f t="shared" si="5"/>
        <v>2</v>
      </c>
      <c r="S21">
        <f t="shared" si="6"/>
        <v>2026</v>
      </c>
    </row>
    <row r="22" spans="1:19" x14ac:dyDescent="0.3">
      <c r="A22" t="s">
        <v>72</v>
      </c>
      <c r="B22" s="1">
        <v>46065</v>
      </c>
      <c r="C22" t="s">
        <v>13</v>
      </c>
      <c r="D22" t="s">
        <v>14</v>
      </c>
      <c r="E22" t="s">
        <v>15</v>
      </c>
      <c r="F22" t="s">
        <v>16</v>
      </c>
      <c r="G22" t="s">
        <v>17</v>
      </c>
      <c r="H22">
        <v>1</v>
      </c>
      <c r="I22" s="2">
        <v>55000</v>
      </c>
      <c r="J22" s="3">
        <v>0.05</v>
      </c>
      <c r="K22" t="s">
        <v>18</v>
      </c>
      <c r="L22" t="s">
        <v>19</v>
      </c>
      <c r="M22">
        <f t="shared" si="0"/>
        <v>52250</v>
      </c>
      <c r="N22" t="str">
        <f t="shared" si="3"/>
        <v>high</v>
      </c>
      <c r="O22" t="str">
        <f t="shared" si="1"/>
        <v>priority</v>
      </c>
      <c r="P22" t="str">
        <f t="shared" si="2"/>
        <v>normal</v>
      </c>
      <c r="Q22" t="str">
        <f t="shared" si="4"/>
        <v>February</v>
      </c>
      <c r="R22">
        <f t="shared" si="5"/>
        <v>2</v>
      </c>
      <c r="S22">
        <f t="shared" si="6"/>
        <v>2026</v>
      </c>
    </row>
    <row r="23" spans="1:19" x14ac:dyDescent="0.3">
      <c r="A23" t="s">
        <v>73</v>
      </c>
      <c r="B23" s="1">
        <v>46068</v>
      </c>
      <c r="C23" t="s">
        <v>21</v>
      </c>
      <c r="D23" t="s">
        <v>22</v>
      </c>
      <c r="E23" t="s">
        <v>15</v>
      </c>
      <c r="F23" t="s">
        <v>16</v>
      </c>
      <c r="G23" t="s">
        <v>23</v>
      </c>
      <c r="H23">
        <v>1</v>
      </c>
      <c r="I23" s="2">
        <v>25000</v>
      </c>
      <c r="J23" s="3">
        <v>0.1</v>
      </c>
      <c r="K23" t="s">
        <v>24</v>
      </c>
      <c r="L23" t="s">
        <v>19</v>
      </c>
      <c r="M23">
        <f t="shared" si="0"/>
        <v>22500</v>
      </c>
      <c r="N23" t="str">
        <f t="shared" si="3"/>
        <v>high</v>
      </c>
      <c r="O23" t="str">
        <f t="shared" si="1"/>
        <v>priority</v>
      </c>
      <c r="P23" t="str">
        <f t="shared" si="2"/>
        <v>normal</v>
      </c>
      <c r="Q23" t="str">
        <f t="shared" si="4"/>
        <v>February</v>
      </c>
      <c r="R23">
        <f t="shared" si="5"/>
        <v>2</v>
      </c>
      <c r="S23">
        <f t="shared" si="6"/>
        <v>2026</v>
      </c>
    </row>
    <row r="24" spans="1:19" x14ac:dyDescent="0.3">
      <c r="A24" t="s">
        <v>74</v>
      </c>
      <c r="B24" s="1">
        <v>46071</v>
      </c>
      <c r="C24" t="s">
        <v>26</v>
      </c>
      <c r="D24" t="s">
        <v>27</v>
      </c>
      <c r="E24" t="s">
        <v>15</v>
      </c>
      <c r="F24" t="s">
        <v>28</v>
      </c>
      <c r="G24" t="s">
        <v>29</v>
      </c>
      <c r="H24">
        <v>3</v>
      </c>
      <c r="I24" s="2">
        <v>3500</v>
      </c>
      <c r="J24" s="3">
        <v>0.05</v>
      </c>
      <c r="K24" t="s">
        <v>18</v>
      </c>
      <c r="L24" t="s">
        <v>19</v>
      </c>
      <c r="M24">
        <f t="shared" si="0"/>
        <v>9975</v>
      </c>
      <c r="N24" t="str">
        <f t="shared" si="3"/>
        <v>low</v>
      </c>
      <c r="O24" t="str">
        <f t="shared" si="1"/>
        <v>normal</v>
      </c>
      <c r="P24" t="str">
        <f t="shared" si="2"/>
        <v>normal</v>
      </c>
      <c r="Q24" t="str">
        <f t="shared" si="4"/>
        <v>February</v>
      </c>
      <c r="R24">
        <f t="shared" si="5"/>
        <v>2</v>
      </c>
      <c r="S24">
        <f t="shared" si="6"/>
        <v>2026</v>
      </c>
    </row>
    <row r="25" spans="1:19" x14ac:dyDescent="0.3">
      <c r="A25" t="s">
        <v>75</v>
      </c>
      <c r="B25" s="1">
        <v>46073</v>
      </c>
      <c r="C25" t="s">
        <v>31</v>
      </c>
      <c r="D25" t="s">
        <v>32</v>
      </c>
      <c r="E25" t="s">
        <v>33</v>
      </c>
      <c r="F25" t="s">
        <v>16</v>
      </c>
      <c r="G25" t="s">
        <v>45</v>
      </c>
      <c r="H25">
        <v>2</v>
      </c>
      <c r="I25" s="2">
        <v>8000</v>
      </c>
      <c r="J25" s="3">
        <v>0.05</v>
      </c>
      <c r="K25" t="s">
        <v>24</v>
      </c>
      <c r="L25" t="s">
        <v>19</v>
      </c>
      <c r="M25">
        <f t="shared" si="0"/>
        <v>15200</v>
      </c>
      <c r="N25" t="str">
        <f t="shared" si="3"/>
        <v>low</v>
      </c>
      <c r="O25" t="str">
        <f t="shared" si="1"/>
        <v>normal</v>
      </c>
      <c r="P25" t="str">
        <f t="shared" si="2"/>
        <v>normal</v>
      </c>
      <c r="Q25" t="str">
        <f t="shared" si="4"/>
        <v>February</v>
      </c>
      <c r="R25">
        <f t="shared" si="5"/>
        <v>2</v>
      </c>
      <c r="S25">
        <f t="shared" si="6"/>
        <v>2026</v>
      </c>
    </row>
    <row r="26" spans="1:19" x14ac:dyDescent="0.3">
      <c r="A26" t="s">
        <v>76</v>
      </c>
      <c r="B26" s="1">
        <v>46075</v>
      </c>
      <c r="C26" t="s">
        <v>37</v>
      </c>
      <c r="D26" t="s">
        <v>38</v>
      </c>
      <c r="E26" t="s">
        <v>39</v>
      </c>
      <c r="F26" t="s">
        <v>48</v>
      </c>
      <c r="G26" t="s">
        <v>57</v>
      </c>
      <c r="H26">
        <v>1</v>
      </c>
      <c r="I26" s="2">
        <v>3000</v>
      </c>
      <c r="J26" s="3">
        <v>0</v>
      </c>
      <c r="K26" t="s">
        <v>35</v>
      </c>
      <c r="L26" t="s">
        <v>19</v>
      </c>
      <c r="M26">
        <f t="shared" si="0"/>
        <v>3000</v>
      </c>
      <c r="N26" t="str">
        <f t="shared" si="3"/>
        <v>low</v>
      </c>
      <c r="O26" t="str">
        <f t="shared" si="1"/>
        <v>normal</v>
      </c>
      <c r="P26" t="str">
        <f t="shared" si="2"/>
        <v>normal</v>
      </c>
      <c r="Q26" t="str">
        <f t="shared" si="4"/>
        <v>February</v>
      </c>
      <c r="R26">
        <f t="shared" si="5"/>
        <v>2</v>
      </c>
      <c r="S26">
        <f t="shared" si="6"/>
        <v>2026</v>
      </c>
    </row>
    <row r="27" spans="1:19" x14ac:dyDescent="0.3">
      <c r="A27" t="s">
        <v>77</v>
      </c>
      <c r="B27" s="1">
        <v>46078</v>
      </c>
      <c r="C27" t="s">
        <v>43</v>
      </c>
      <c r="D27" t="s">
        <v>44</v>
      </c>
      <c r="E27" t="s">
        <v>33</v>
      </c>
      <c r="F27" t="s">
        <v>16</v>
      </c>
      <c r="G27" t="s">
        <v>54</v>
      </c>
      <c r="H27">
        <v>2</v>
      </c>
      <c r="I27" s="2">
        <v>45000</v>
      </c>
      <c r="J27" s="3">
        <v>0.08</v>
      </c>
      <c r="K27" t="s">
        <v>18</v>
      </c>
      <c r="L27" t="s">
        <v>19</v>
      </c>
      <c r="M27">
        <f t="shared" si="0"/>
        <v>82800</v>
      </c>
      <c r="N27" t="str">
        <f t="shared" si="3"/>
        <v>high</v>
      </c>
      <c r="O27" t="str">
        <f t="shared" si="1"/>
        <v>priority</v>
      </c>
      <c r="P27" t="str">
        <f t="shared" si="2"/>
        <v>normal</v>
      </c>
      <c r="Q27" t="str">
        <f t="shared" si="4"/>
        <v>February</v>
      </c>
      <c r="R27">
        <f t="shared" si="5"/>
        <v>2</v>
      </c>
      <c r="S27">
        <f t="shared" si="6"/>
        <v>2026</v>
      </c>
    </row>
    <row r="28" spans="1:19" x14ac:dyDescent="0.3">
      <c r="A28" t="s">
        <v>78</v>
      </c>
      <c r="B28" s="1">
        <v>46080</v>
      </c>
      <c r="C28" t="s">
        <v>47</v>
      </c>
      <c r="D28" t="s">
        <v>14</v>
      </c>
      <c r="E28" t="s">
        <v>15</v>
      </c>
      <c r="F28" t="s">
        <v>28</v>
      </c>
      <c r="G28" t="s">
        <v>61</v>
      </c>
      <c r="H28">
        <v>2</v>
      </c>
      <c r="I28" s="2">
        <v>2200</v>
      </c>
      <c r="J28" s="3">
        <v>0.1</v>
      </c>
      <c r="K28" t="s">
        <v>24</v>
      </c>
      <c r="L28" t="s">
        <v>19</v>
      </c>
      <c r="M28">
        <f t="shared" si="0"/>
        <v>3960</v>
      </c>
      <c r="N28" t="str">
        <f t="shared" si="3"/>
        <v>low</v>
      </c>
      <c r="O28" t="str">
        <f t="shared" si="1"/>
        <v>normal</v>
      </c>
      <c r="P28" t="str">
        <f t="shared" si="2"/>
        <v>normal</v>
      </c>
      <c r="Q28" t="str">
        <f t="shared" si="4"/>
        <v>February</v>
      </c>
      <c r="R28">
        <f t="shared" si="5"/>
        <v>2</v>
      </c>
      <c r="S28">
        <f t="shared" si="6"/>
        <v>2026</v>
      </c>
    </row>
    <row r="29" spans="1:19" x14ac:dyDescent="0.3">
      <c r="A29" t="s">
        <v>79</v>
      </c>
      <c r="B29" s="1">
        <v>46082</v>
      </c>
      <c r="C29" t="s">
        <v>51</v>
      </c>
      <c r="D29" t="s">
        <v>52</v>
      </c>
      <c r="E29" t="s">
        <v>53</v>
      </c>
      <c r="F29" t="s">
        <v>16</v>
      </c>
      <c r="G29" t="s">
        <v>34</v>
      </c>
      <c r="H29">
        <v>4</v>
      </c>
      <c r="I29" s="2">
        <v>2500</v>
      </c>
      <c r="J29" s="3">
        <v>0.05</v>
      </c>
      <c r="K29" t="s">
        <v>18</v>
      </c>
      <c r="L29" t="s">
        <v>19</v>
      </c>
      <c r="M29">
        <f t="shared" si="0"/>
        <v>9500</v>
      </c>
      <c r="N29" t="str">
        <f t="shared" si="3"/>
        <v>low</v>
      </c>
      <c r="O29" t="str">
        <f t="shared" si="1"/>
        <v>normal</v>
      </c>
      <c r="P29" t="str">
        <f t="shared" si="2"/>
        <v>normal</v>
      </c>
      <c r="Q29" t="str">
        <f t="shared" si="4"/>
        <v>March</v>
      </c>
      <c r="R29">
        <f t="shared" si="5"/>
        <v>3</v>
      </c>
      <c r="S29">
        <f t="shared" si="6"/>
        <v>2026</v>
      </c>
    </row>
    <row r="30" spans="1:19" x14ac:dyDescent="0.3">
      <c r="A30" t="s">
        <v>80</v>
      </c>
      <c r="B30" s="1">
        <v>46084</v>
      </c>
      <c r="C30" t="s">
        <v>56</v>
      </c>
      <c r="D30" t="s">
        <v>22</v>
      </c>
      <c r="E30" t="s">
        <v>15</v>
      </c>
      <c r="F30" t="s">
        <v>48</v>
      </c>
      <c r="G30" t="s">
        <v>49</v>
      </c>
      <c r="H30">
        <v>2</v>
      </c>
      <c r="I30" s="2">
        <v>1800</v>
      </c>
      <c r="J30" s="3">
        <v>0</v>
      </c>
      <c r="K30" t="s">
        <v>18</v>
      </c>
      <c r="L30" t="s">
        <v>58</v>
      </c>
      <c r="M30">
        <f t="shared" si="0"/>
        <v>3600</v>
      </c>
      <c r="N30" t="str">
        <f t="shared" si="3"/>
        <v>low</v>
      </c>
      <c r="O30" t="str">
        <f t="shared" si="1"/>
        <v>normal</v>
      </c>
      <c r="P30" t="str">
        <f t="shared" si="2"/>
        <v>attention</v>
      </c>
      <c r="Q30" t="str">
        <f t="shared" si="4"/>
        <v>March</v>
      </c>
      <c r="R30">
        <f t="shared" si="5"/>
        <v>3</v>
      </c>
      <c r="S30">
        <f t="shared" si="6"/>
        <v>2026</v>
      </c>
    </row>
    <row r="31" spans="1:19" x14ac:dyDescent="0.3">
      <c r="A31" t="s">
        <v>81</v>
      </c>
      <c r="B31" s="1">
        <v>46086</v>
      </c>
      <c r="C31" t="s">
        <v>60</v>
      </c>
      <c r="D31" t="s">
        <v>38</v>
      </c>
      <c r="E31" t="s">
        <v>39</v>
      </c>
      <c r="F31" t="s">
        <v>28</v>
      </c>
      <c r="G31" t="s">
        <v>40</v>
      </c>
      <c r="H31">
        <v>3</v>
      </c>
      <c r="I31" s="2">
        <v>1200</v>
      </c>
      <c r="J31" s="3">
        <v>0.1</v>
      </c>
      <c r="K31" t="s">
        <v>35</v>
      </c>
      <c r="L31" t="s">
        <v>19</v>
      </c>
      <c r="M31">
        <f t="shared" si="0"/>
        <v>3240</v>
      </c>
      <c r="N31" t="str">
        <f t="shared" si="3"/>
        <v>low</v>
      </c>
      <c r="O31" t="str">
        <f t="shared" si="1"/>
        <v>normal</v>
      </c>
      <c r="P31" t="str">
        <f t="shared" si="2"/>
        <v>normal</v>
      </c>
      <c r="Q31" t="str">
        <f t="shared" si="4"/>
        <v>March</v>
      </c>
      <c r="R31">
        <f t="shared" si="5"/>
        <v>3</v>
      </c>
      <c r="S31">
        <f t="shared" si="6"/>
        <v>2026</v>
      </c>
    </row>
    <row r="32" spans="1:19" x14ac:dyDescent="0.3">
      <c r="A32" t="s">
        <v>82</v>
      </c>
      <c r="B32" s="1">
        <v>46089</v>
      </c>
      <c r="C32" t="s">
        <v>13</v>
      </c>
      <c r="D32" t="s">
        <v>14</v>
      </c>
      <c r="E32" t="s">
        <v>15</v>
      </c>
      <c r="F32" t="s">
        <v>16</v>
      </c>
      <c r="G32" t="s">
        <v>23</v>
      </c>
      <c r="H32">
        <v>2</v>
      </c>
      <c r="I32" s="2">
        <v>25000</v>
      </c>
      <c r="J32" s="3">
        <v>0.05</v>
      </c>
      <c r="K32" t="s">
        <v>24</v>
      </c>
      <c r="L32" t="s">
        <v>19</v>
      </c>
      <c r="M32">
        <f t="shared" si="0"/>
        <v>47500</v>
      </c>
      <c r="N32" t="str">
        <f t="shared" si="3"/>
        <v>high</v>
      </c>
      <c r="O32" t="str">
        <f t="shared" si="1"/>
        <v>priority</v>
      </c>
      <c r="P32" t="str">
        <f t="shared" si="2"/>
        <v>normal</v>
      </c>
      <c r="Q32" t="str">
        <f t="shared" si="4"/>
        <v>March</v>
      </c>
      <c r="R32">
        <f t="shared" si="5"/>
        <v>3</v>
      </c>
      <c r="S32">
        <f t="shared" si="6"/>
        <v>2026</v>
      </c>
    </row>
    <row r="33" spans="1:19" x14ac:dyDescent="0.3">
      <c r="A33" t="s">
        <v>83</v>
      </c>
      <c r="B33" s="1">
        <v>46091</v>
      </c>
      <c r="C33" t="s">
        <v>21</v>
      </c>
      <c r="D33" t="s">
        <v>22</v>
      </c>
      <c r="E33" t="s">
        <v>15</v>
      </c>
      <c r="F33" t="s">
        <v>48</v>
      </c>
      <c r="G33" t="s">
        <v>57</v>
      </c>
      <c r="H33">
        <v>3</v>
      </c>
      <c r="I33" s="2">
        <v>3000</v>
      </c>
      <c r="J33" s="3">
        <v>0.05</v>
      </c>
      <c r="K33" t="s">
        <v>18</v>
      </c>
      <c r="L33" t="s">
        <v>19</v>
      </c>
      <c r="M33">
        <f t="shared" si="0"/>
        <v>8550</v>
      </c>
      <c r="N33" t="str">
        <f t="shared" si="3"/>
        <v>low</v>
      </c>
      <c r="O33" t="str">
        <f t="shared" si="1"/>
        <v>normal</v>
      </c>
      <c r="P33" t="str">
        <f t="shared" si="2"/>
        <v>normal</v>
      </c>
      <c r="Q33" t="str">
        <f t="shared" si="4"/>
        <v>March</v>
      </c>
      <c r="R33">
        <f t="shared" si="5"/>
        <v>3</v>
      </c>
      <c r="S33">
        <f t="shared" si="6"/>
        <v>2026</v>
      </c>
    </row>
    <row r="34" spans="1:19" x14ac:dyDescent="0.3">
      <c r="A34" t="s">
        <v>84</v>
      </c>
      <c r="B34" s="1">
        <v>46093</v>
      </c>
      <c r="C34" t="s">
        <v>26</v>
      </c>
      <c r="D34" t="s">
        <v>27</v>
      </c>
      <c r="E34" t="s">
        <v>15</v>
      </c>
      <c r="F34" t="s">
        <v>28</v>
      </c>
      <c r="G34" t="s">
        <v>29</v>
      </c>
      <c r="H34">
        <v>2</v>
      </c>
      <c r="I34" s="2">
        <v>3500</v>
      </c>
      <c r="J34" s="3">
        <v>0.05</v>
      </c>
      <c r="K34" t="s">
        <v>24</v>
      </c>
      <c r="L34" t="s">
        <v>19</v>
      </c>
      <c r="M34">
        <f t="shared" si="0"/>
        <v>6650</v>
      </c>
      <c r="N34" t="str">
        <f t="shared" si="3"/>
        <v>low</v>
      </c>
      <c r="O34" t="str">
        <f t="shared" si="1"/>
        <v>normal</v>
      </c>
      <c r="P34" t="str">
        <f t="shared" si="2"/>
        <v>normal</v>
      </c>
      <c r="Q34" t="str">
        <f t="shared" si="4"/>
        <v>March</v>
      </c>
      <c r="R34">
        <f t="shared" si="5"/>
        <v>3</v>
      </c>
      <c r="S34">
        <f t="shared" si="6"/>
        <v>2026</v>
      </c>
    </row>
    <row r="35" spans="1:19" x14ac:dyDescent="0.3">
      <c r="A35" t="s">
        <v>85</v>
      </c>
      <c r="B35" s="1">
        <v>46096</v>
      </c>
      <c r="C35" t="s">
        <v>31</v>
      </c>
      <c r="D35" t="s">
        <v>32</v>
      </c>
      <c r="E35" t="s">
        <v>33</v>
      </c>
      <c r="F35" t="s">
        <v>16</v>
      </c>
      <c r="G35" t="s">
        <v>17</v>
      </c>
      <c r="H35">
        <v>2</v>
      </c>
      <c r="I35" s="2">
        <v>55000</v>
      </c>
      <c r="J35" s="3">
        <v>0.1</v>
      </c>
      <c r="K35" t="s">
        <v>18</v>
      </c>
      <c r="L35" t="s">
        <v>19</v>
      </c>
      <c r="M35">
        <f t="shared" si="0"/>
        <v>99000</v>
      </c>
      <c r="N35" t="str">
        <f t="shared" si="3"/>
        <v>high</v>
      </c>
      <c r="O35" t="str">
        <f t="shared" si="1"/>
        <v>priority</v>
      </c>
      <c r="P35" t="str">
        <f t="shared" si="2"/>
        <v>normal</v>
      </c>
      <c r="Q35" t="str">
        <f t="shared" si="4"/>
        <v>March</v>
      </c>
      <c r="R35">
        <f t="shared" si="5"/>
        <v>3</v>
      </c>
      <c r="S35">
        <f t="shared" si="6"/>
        <v>2026</v>
      </c>
    </row>
    <row r="36" spans="1:19" x14ac:dyDescent="0.3">
      <c r="A36" t="s">
        <v>86</v>
      </c>
      <c r="B36" s="1">
        <v>46099</v>
      </c>
      <c r="C36" t="s">
        <v>37</v>
      </c>
      <c r="D36" t="s">
        <v>38</v>
      </c>
      <c r="E36" t="s">
        <v>39</v>
      </c>
      <c r="F36" t="s">
        <v>48</v>
      </c>
      <c r="G36" t="s">
        <v>49</v>
      </c>
      <c r="H36">
        <v>2</v>
      </c>
      <c r="I36" s="2">
        <v>1800</v>
      </c>
      <c r="J36" s="3">
        <v>0</v>
      </c>
      <c r="K36" t="s">
        <v>35</v>
      </c>
      <c r="L36" t="s">
        <v>41</v>
      </c>
      <c r="M36">
        <f t="shared" si="0"/>
        <v>3600</v>
      </c>
      <c r="N36" t="str">
        <f t="shared" si="3"/>
        <v>low</v>
      </c>
      <c r="O36" t="str">
        <f t="shared" si="1"/>
        <v>normal</v>
      </c>
      <c r="P36" t="str">
        <f t="shared" si="2"/>
        <v>attention</v>
      </c>
      <c r="Q36" t="str">
        <f t="shared" si="4"/>
        <v>March</v>
      </c>
      <c r="R36">
        <f t="shared" si="5"/>
        <v>3</v>
      </c>
      <c r="S36">
        <f t="shared" si="6"/>
        <v>2026</v>
      </c>
    </row>
    <row r="37" spans="1:19" x14ac:dyDescent="0.3">
      <c r="A37" t="s">
        <v>87</v>
      </c>
      <c r="B37" s="1">
        <v>46101</v>
      </c>
      <c r="C37" t="s">
        <v>43</v>
      </c>
      <c r="D37" t="s">
        <v>44</v>
      </c>
      <c r="E37" t="s">
        <v>33</v>
      </c>
      <c r="F37" t="s">
        <v>16</v>
      </c>
      <c r="G37" t="s">
        <v>45</v>
      </c>
      <c r="H37">
        <v>1</v>
      </c>
      <c r="I37" s="2">
        <v>8000</v>
      </c>
      <c r="J37" s="3">
        <v>0.05</v>
      </c>
      <c r="K37" t="s">
        <v>24</v>
      </c>
      <c r="L37" t="s">
        <v>19</v>
      </c>
      <c r="M37">
        <f t="shared" si="0"/>
        <v>7600</v>
      </c>
      <c r="N37" t="str">
        <f t="shared" si="3"/>
        <v>low</v>
      </c>
      <c r="O37" t="str">
        <f t="shared" si="1"/>
        <v>normal</v>
      </c>
      <c r="P37" t="str">
        <f t="shared" si="2"/>
        <v>normal</v>
      </c>
      <c r="Q37" t="str">
        <f t="shared" si="4"/>
        <v>March</v>
      </c>
      <c r="R37">
        <f t="shared" si="5"/>
        <v>3</v>
      </c>
      <c r="S37">
        <f t="shared" si="6"/>
        <v>2026</v>
      </c>
    </row>
    <row r="38" spans="1:19" x14ac:dyDescent="0.3">
      <c r="A38" t="s">
        <v>88</v>
      </c>
      <c r="B38" s="1">
        <v>46103</v>
      </c>
      <c r="C38" t="s">
        <v>47</v>
      </c>
      <c r="D38" t="s">
        <v>14</v>
      </c>
      <c r="E38" t="s">
        <v>15</v>
      </c>
      <c r="F38" t="s">
        <v>28</v>
      </c>
      <c r="G38" t="s">
        <v>40</v>
      </c>
      <c r="H38">
        <v>4</v>
      </c>
      <c r="I38" s="2">
        <v>1200</v>
      </c>
      <c r="J38" s="3">
        <v>0.1</v>
      </c>
      <c r="K38" t="s">
        <v>18</v>
      </c>
      <c r="L38" t="s">
        <v>19</v>
      </c>
      <c r="M38">
        <f t="shared" si="0"/>
        <v>4320</v>
      </c>
      <c r="N38" t="str">
        <f t="shared" si="3"/>
        <v>low</v>
      </c>
      <c r="O38" t="str">
        <f t="shared" si="1"/>
        <v>normal</v>
      </c>
      <c r="P38" t="str">
        <f t="shared" si="2"/>
        <v>normal</v>
      </c>
      <c r="Q38" t="str">
        <f t="shared" si="4"/>
        <v>March</v>
      </c>
      <c r="R38">
        <f t="shared" si="5"/>
        <v>3</v>
      </c>
      <c r="S38">
        <f t="shared" si="6"/>
        <v>2026</v>
      </c>
    </row>
    <row r="39" spans="1:19" x14ac:dyDescent="0.3">
      <c r="A39" t="s">
        <v>89</v>
      </c>
      <c r="B39" s="1">
        <v>46106</v>
      </c>
      <c r="C39" t="s">
        <v>51</v>
      </c>
      <c r="D39" t="s">
        <v>52</v>
      </c>
      <c r="E39" t="s">
        <v>53</v>
      </c>
      <c r="F39" t="s">
        <v>16</v>
      </c>
      <c r="G39" t="s">
        <v>54</v>
      </c>
      <c r="H39">
        <v>1</v>
      </c>
      <c r="I39" s="2">
        <v>45000</v>
      </c>
      <c r="J39" s="3">
        <v>0.08</v>
      </c>
      <c r="K39" t="s">
        <v>24</v>
      </c>
      <c r="L39" t="s">
        <v>19</v>
      </c>
      <c r="M39">
        <f t="shared" si="0"/>
        <v>41400</v>
      </c>
      <c r="N39" t="str">
        <f t="shared" si="3"/>
        <v>high</v>
      </c>
      <c r="O39" t="str">
        <f t="shared" si="1"/>
        <v>priority</v>
      </c>
      <c r="P39" t="str">
        <f t="shared" si="2"/>
        <v>normal</v>
      </c>
      <c r="Q39" t="str">
        <f t="shared" si="4"/>
        <v>March</v>
      </c>
      <c r="R39">
        <f t="shared" si="5"/>
        <v>3</v>
      </c>
      <c r="S39">
        <f t="shared" si="6"/>
        <v>2026</v>
      </c>
    </row>
    <row r="40" spans="1:19" x14ac:dyDescent="0.3">
      <c r="A40" t="s">
        <v>90</v>
      </c>
      <c r="B40" s="1">
        <v>46108</v>
      </c>
      <c r="C40" t="s">
        <v>56</v>
      </c>
      <c r="D40" t="s">
        <v>22</v>
      </c>
      <c r="E40" t="s">
        <v>15</v>
      </c>
      <c r="F40" t="s">
        <v>48</v>
      </c>
      <c r="G40" t="s">
        <v>57</v>
      </c>
      <c r="H40">
        <v>2</v>
      </c>
      <c r="I40" s="2">
        <v>3000</v>
      </c>
      <c r="J40" s="3">
        <v>0.05</v>
      </c>
      <c r="K40" t="s">
        <v>18</v>
      </c>
      <c r="L40" t="s">
        <v>58</v>
      </c>
      <c r="M40">
        <f t="shared" si="0"/>
        <v>5700</v>
      </c>
      <c r="N40" t="str">
        <f t="shared" si="3"/>
        <v>low</v>
      </c>
      <c r="O40" t="str">
        <f t="shared" si="1"/>
        <v>normal</v>
      </c>
      <c r="P40" t="str">
        <f t="shared" si="2"/>
        <v>attention</v>
      </c>
      <c r="Q40" t="str">
        <f t="shared" si="4"/>
        <v>March</v>
      </c>
      <c r="R40">
        <f t="shared" si="5"/>
        <v>3</v>
      </c>
      <c r="S40">
        <f t="shared" si="6"/>
        <v>2026</v>
      </c>
    </row>
    <row r="41" spans="1:19" x14ac:dyDescent="0.3">
      <c r="A41" t="s">
        <v>91</v>
      </c>
      <c r="B41" s="1">
        <v>46111</v>
      </c>
      <c r="C41" t="s">
        <v>60</v>
      </c>
      <c r="D41" t="s">
        <v>38</v>
      </c>
      <c r="E41" t="s">
        <v>39</v>
      </c>
      <c r="F41" t="s">
        <v>28</v>
      </c>
      <c r="G41" t="s">
        <v>61</v>
      </c>
      <c r="H41">
        <v>2</v>
      </c>
      <c r="I41" s="2">
        <v>2200</v>
      </c>
      <c r="J41" s="3">
        <v>0.1</v>
      </c>
      <c r="K41" t="s">
        <v>35</v>
      </c>
      <c r="L41" t="s">
        <v>19</v>
      </c>
      <c r="M41">
        <f t="shared" si="0"/>
        <v>3960</v>
      </c>
      <c r="N41" t="str">
        <f t="shared" si="3"/>
        <v>low</v>
      </c>
      <c r="O41" t="str">
        <f t="shared" si="1"/>
        <v>normal</v>
      </c>
      <c r="P41" t="str">
        <f t="shared" si="2"/>
        <v>normal</v>
      </c>
      <c r="Q41" t="str">
        <f t="shared" si="4"/>
        <v>March</v>
      </c>
      <c r="R41">
        <f t="shared" si="5"/>
        <v>3</v>
      </c>
      <c r="S41">
        <f t="shared" si="6"/>
        <v>2026</v>
      </c>
    </row>
  </sheetData>
  <conditionalFormatting sqref="M1:M1048576">
    <cfRule type="dataBar" priority="1">
      <dataBar>
        <cfvo type="min"/>
        <cfvo type="max"/>
        <color rgb="FF63C384"/>
      </dataBar>
      <extLst>
        <ext xmlns:x14="http://schemas.microsoft.com/office/spreadsheetml/2009/9/main" uri="{B025F937-C7B1-47D3-B67F-A62EFF666E3E}">
          <x14:id>{0C39C316-3117-4DA8-B461-EAE58A161472}</x14:id>
        </ext>
      </extLst>
    </cfRule>
    <cfRule type="cellIs" dxfId="0" priority="2" operator="greaterThan">
      <formula>20000</formula>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39C316-3117-4DA8-B461-EAE58A161472}">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1F78-8146-4B01-A58F-8B5F006FA1AB}">
  <dimension ref="A1:T13"/>
  <sheetViews>
    <sheetView workbookViewId="0">
      <selection activeCell="A11" sqref="A11:K13"/>
    </sheetView>
  </sheetViews>
  <sheetFormatPr defaultRowHeight="14.4" x14ac:dyDescent="0.3"/>
  <cols>
    <col min="1" max="1" width="20.88671875" style="6" customWidth="1"/>
    <col min="2" max="2" width="11.44140625" style="6" customWidth="1"/>
    <col min="3" max="3" width="12.88671875" style="6" customWidth="1"/>
    <col min="4" max="4" width="10.44140625" style="6" customWidth="1"/>
    <col min="5" max="5" width="9.88671875" style="6" customWidth="1"/>
    <col min="6" max="6" width="8.21875" style="6" customWidth="1"/>
    <col min="7" max="7" width="7.109375" style="6" customWidth="1"/>
    <col min="8" max="8" width="9.77734375" style="6" customWidth="1"/>
    <col min="9" max="13" width="8.88671875" style="6"/>
    <col min="14" max="14" width="9.77734375" style="6" customWidth="1"/>
    <col min="15" max="15" width="8.88671875" style="6"/>
    <col min="16" max="16" width="10" style="6" customWidth="1"/>
    <col min="17" max="17" width="10.77734375" style="6" customWidth="1"/>
    <col min="18" max="18" width="8.88671875" style="6"/>
    <col min="19" max="19" width="14.21875" style="6" customWidth="1"/>
    <col min="20" max="16384" width="8.88671875" style="6"/>
  </cols>
  <sheetData>
    <row r="1" spans="1:20" x14ac:dyDescent="0.3">
      <c r="A1" s="5" t="s">
        <v>92</v>
      </c>
      <c r="B1" s="6">
        <f>SUM(Orders!H1:H41)</f>
        <v>82</v>
      </c>
      <c r="M1" s="6" t="s">
        <v>120</v>
      </c>
      <c r="N1" s="6" t="s">
        <v>102</v>
      </c>
      <c r="P1" s="6" t="s">
        <v>124</v>
      </c>
      <c r="Q1" s="6" t="s">
        <v>125</v>
      </c>
      <c r="R1" s="6" t="s">
        <v>102</v>
      </c>
      <c r="S1" s="6" t="s">
        <v>127</v>
      </c>
      <c r="T1" s="6" t="s">
        <v>128</v>
      </c>
    </row>
    <row r="2" spans="1:20" ht="28.2" x14ac:dyDescent="0.3">
      <c r="A2" s="5" t="s">
        <v>93</v>
      </c>
      <c r="B2" s="6">
        <f>SUMPRODUCT(Orders!H1:H41,Orders!I1:I41)</f>
        <v>819500</v>
      </c>
      <c r="D2" s="6">
        <f>COUNTIF(Orders!N2:N41,"high")</f>
        <v>12</v>
      </c>
      <c r="M2" s="6" t="s">
        <v>121</v>
      </c>
      <c r="N2" s="6">
        <f>SUMIF(Orders!Q2:Q41,"january",Orders!M2:M51)</f>
        <v>265655</v>
      </c>
      <c r="P2" s="6" t="s">
        <v>126</v>
      </c>
      <c r="Q2" s="6" t="str">
        <f>_xlfn.XLOOKUP("ord1005",Orders!A2:A41,Orders!C2:C41)</f>
        <v>Sneha</v>
      </c>
      <c r="R2" s="6">
        <f>_xlfn.XLOOKUP("ord1005",Orders!A2:A41,Orders!M2:M41)</f>
        <v>4320</v>
      </c>
      <c r="S2" s="6" t="str">
        <f>_xlfn.XLOOKUP("ord1005",Orders!A2:A41,Orders!G2:G41)</f>
        <v>T-Shirt</v>
      </c>
      <c r="T2" s="6" t="str">
        <f>_xlfn.XLOOKUP("ord1005",Orders!A2:A41,Orders!D2:D41)</f>
        <v>Delhi</v>
      </c>
    </row>
    <row r="3" spans="1:20" x14ac:dyDescent="0.3">
      <c r="A3" s="5" t="s">
        <v>94</v>
      </c>
      <c r="B3" s="6">
        <f>AVERAGE(Orders!I1:I41)</f>
        <v>14577.5</v>
      </c>
      <c r="D3" s="6">
        <f>COUNTIF(Orders!N2:N41,"low")</f>
        <v>28</v>
      </c>
      <c r="M3" s="6" t="s">
        <v>122</v>
      </c>
      <c r="N3" s="6">
        <f>SUMIF(Orders!Q3:Q42,"january",Orders!M3:M52)</f>
        <v>213405</v>
      </c>
      <c r="P3" s="6" t="s">
        <v>129</v>
      </c>
      <c r="Q3" s="6" t="str">
        <f>_xlfn.XLOOKUP("ord1012",Orders!A3:A42,Orders!C3:C42)</f>
        <v>Rahul</v>
      </c>
      <c r="R3" s="6">
        <f>_xlfn.XLOOKUP("ord1012",Orders!A3:A42,Orders!M3:M42)</f>
        <v>5400</v>
      </c>
      <c r="S3" s="6" t="str">
        <f>_xlfn.XLOOKUP("ord1012",Orders!A3:A42,Orders!G3:G42)</f>
        <v>Backpack</v>
      </c>
      <c r="T3" s="6" t="str">
        <f>_xlfn.XLOOKUP("ord1012",Orders!A3:A42,Orders!D3:D42)</f>
        <v>Bangalore</v>
      </c>
    </row>
    <row r="4" spans="1:20" x14ac:dyDescent="0.3">
      <c r="A4" s="5" t="s">
        <v>95</v>
      </c>
      <c r="B4" s="6">
        <f>MAX(Orders!I1:I41)</f>
        <v>55000</v>
      </c>
      <c r="M4" s="6" t="s">
        <v>123</v>
      </c>
      <c r="N4" s="6">
        <f>SUMIF(Orders!Q4:Q43,"january",Orders!M4:M53)</f>
        <v>168405</v>
      </c>
    </row>
    <row r="5" spans="1:20" x14ac:dyDescent="0.3">
      <c r="A5" s="5" t="s">
        <v>96</v>
      </c>
      <c r="B5" s="6">
        <f>MIN(Orders!I1:I41)</f>
        <v>1200</v>
      </c>
      <c r="P5" s="6" t="s">
        <v>124</v>
      </c>
      <c r="Q5" s="6" t="s">
        <v>125</v>
      </c>
      <c r="R5" s="6" t="s">
        <v>102</v>
      </c>
    </row>
    <row r="6" spans="1:20" x14ac:dyDescent="0.3">
      <c r="A6" s="5" t="s">
        <v>97</v>
      </c>
      <c r="B6" s="6">
        <f>COUNTA(Orders!A1:A41)</f>
        <v>41</v>
      </c>
      <c r="P6" s="6" t="s">
        <v>130</v>
      </c>
      <c r="Q6" s="6" t="str">
        <f>INDEX(Orders!C2:C41,MATCH("ord1015",Orders!A2:A41,0))</f>
        <v>Sneha</v>
      </c>
      <c r="R6" s="6">
        <f>INDEX(Orders!M2:M41,MATCH("ord1015",Orders!A2:A41,0))</f>
        <v>5700</v>
      </c>
    </row>
    <row r="7" spans="1:20" ht="28.2" x14ac:dyDescent="0.3">
      <c r="A7" s="5" t="s">
        <v>98</v>
      </c>
      <c r="B7" s="6">
        <f>Orders!H2*Orders!I2*(1-Orders!J2)</f>
        <v>52250</v>
      </c>
    </row>
    <row r="8" spans="1:20" ht="28.2" x14ac:dyDescent="0.3">
      <c r="A8" s="5" t="s">
        <v>100</v>
      </c>
      <c r="B8" s="6">
        <f>SUM(Orders!M2:M41)</f>
        <v>759250</v>
      </c>
      <c r="S8" s="6">
        <f>SUM(Table2[Revenue])</f>
        <v>759250</v>
      </c>
    </row>
    <row r="9" spans="1:20" x14ac:dyDescent="0.3">
      <c r="P9" s="6" t="str">
        <f>RIGHT(ORD1015,4)</f>
        <v/>
      </c>
    </row>
    <row r="10" spans="1:20" ht="43.2" x14ac:dyDescent="0.3">
      <c r="A10" s="8" t="s">
        <v>101</v>
      </c>
      <c r="B10" s="8" t="s">
        <v>102</v>
      </c>
      <c r="C10" s="6" t="s">
        <v>97</v>
      </c>
      <c r="D10" s="6" t="s">
        <v>105</v>
      </c>
      <c r="E10" s="6" t="s">
        <v>106</v>
      </c>
      <c r="F10" s="6" t="s">
        <v>107</v>
      </c>
      <c r="G10" s="6" t="s">
        <v>108</v>
      </c>
      <c r="H10" s="6" t="s">
        <v>109</v>
      </c>
      <c r="I10" s="6" t="s">
        <v>110</v>
      </c>
      <c r="J10" s="6" t="s">
        <v>111</v>
      </c>
      <c r="K10" s="6" t="s">
        <v>114</v>
      </c>
    </row>
    <row r="11" spans="1:20" x14ac:dyDescent="0.3">
      <c r="A11" s="5" t="s">
        <v>16</v>
      </c>
      <c r="B11" s="6">
        <f>SUMIF(Orders!F2:F41,"Electronics",Orders!M2:M41)</f>
        <v>650900</v>
      </c>
      <c r="C11" s="6">
        <f>COUNTIF(Orders!F2:F41,"Electronics")</f>
        <v>18</v>
      </c>
      <c r="D11" s="6">
        <f>SUMIFS(Orders!M2:M41,Orders!F2:F41,"electronics",Orders!E2:E41,"south")</f>
        <v>243250</v>
      </c>
      <c r="E11" s="6">
        <f>SUMIFS(Orders!M2:M41,Orders!F2:F41,"Electronics",Orders!E2:E41,"north")</f>
        <v>0</v>
      </c>
      <c r="F11" s="6">
        <f>AVERAGEIF(Orders!F2:F41,"electronics",Orders!M2:M41)</f>
        <v>36161.111111111109</v>
      </c>
      <c r="G11" s="6">
        <f>COUNTIFS(Orders!F2:F41,"electronics",Orders!E2:E41,"south")</f>
        <v>6</v>
      </c>
      <c r="H11" s="6">
        <f>COUNTIFS(Orders!D2:D41,"chennai",Orders!L2:L41,"delivered")</f>
        <v>8</v>
      </c>
      <c r="I11" s="6">
        <f>COUNTIFS(Orders!F2:F41,"electronics",Orders!D2:D41,"chennai",Orders!L2:L41,"delivered")</f>
        <v>4</v>
      </c>
      <c r="J11" s="6" t="str">
        <f>IF(Orders!M2&gt;=20000,"high","low")</f>
        <v>high</v>
      </c>
      <c r="K11" s="6" t="str">
        <f>IF(AND(Orders!M2&gt;=20000,Orders!L2="delivered"),"priority","normal")</f>
        <v>priority</v>
      </c>
      <c r="Q11" s="6" t="str">
        <f>IFERROR(_xlfn.XLOOKUP("ord9999",Orders!A2:A41,Orders!C2:C41),"not found")</f>
        <v>not found</v>
      </c>
    </row>
    <row r="12" spans="1:20" x14ac:dyDescent="0.3">
      <c r="A12" s="5" t="s">
        <v>103</v>
      </c>
      <c r="B12" s="6">
        <f>SUMIF(Orders!F2:F41,"home",Orders!M2:M41)</f>
        <v>46650</v>
      </c>
      <c r="C12" s="6">
        <f>COUNTIF(Orders!F2:F41,"Home")</f>
        <v>10</v>
      </c>
      <c r="D12" s="6">
        <f>SUMIFS(Orders!M3:M42,Orders!F3:F42,"home",Orders!E3:E42,"south")</f>
        <v>34350</v>
      </c>
      <c r="E12" s="6">
        <f>SUMIFS(Orders!M3:M42,Orders!F3:F42,"home",Orders!E3:E42,"north")</f>
        <v>12300</v>
      </c>
      <c r="F12" s="6">
        <f>AVERAGEIF(Orders!F3:F42,"home",Orders!M3:M42)</f>
        <v>4665</v>
      </c>
      <c r="G12" s="6">
        <f>COUNTIFS(Orders!F3:F42,"home",Orders!E3:E42,"south")</f>
        <v>7</v>
      </c>
      <c r="H12" s="6">
        <f>COUNTIFS(Orders!D3:D42,"chennai",Orders!L3:L42,"delivered")</f>
        <v>7</v>
      </c>
      <c r="I12" s="6">
        <f>COUNTIFS(Orders!F2:F41,"home",Orders!D2:D41,"chennai",Orders!L2:L41,"delivered")</f>
        <v>1</v>
      </c>
      <c r="S12" s="6">
        <f>SUMIF(Table2[Category],"electronics",Table2[Quantity])</f>
        <v>29</v>
      </c>
    </row>
    <row r="13" spans="1:20" x14ac:dyDescent="0.3">
      <c r="A13" s="5" t="s">
        <v>104</v>
      </c>
      <c r="B13" s="6">
        <f>SUMIF(Orders!F2:F41,"fashion",Orders!M2:M41)</f>
        <v>61700</v>
      </c>
      <c r="C13" s="6">
        <f>COUNTIF(Orders!F2:F41,"Fashion")</f>
        <v>12</v>
      </c>
      <c r="D13" s="6">
        <f>SUMIFS(Orders!M4:M43,Orders!F4:F43,"fashion",Orders!E4:E43,"south")</f>
        <v>40280</v>
      </c>
      <c r="E13" s="6">
        <f>SUMIFS(Orders!M4:M43,Orders!F4:F43,"fashion",Orders!E4:E43,"north")</f>
        <v>21420</v>
      </c>
      <c r="F13" s="6">
        <f>AVERAGEIF(Orders!F4:F43,"fashion",Orders!M4:M43)</f>
        <v>5141.666666666667</v>
      </c>
      <c r="G13" s="6">
        <f>COUNTIFS(Orders!F4:F43,"fashion",Orders!E4:E43,"south")</f>
        <v>7</v>
      </c>
      <c r="H13" s="6">
        <f>COUNTIFS(Orders!D4:D43,"chennai",Orders!L4:L43,"delivered")</f>
        <v>7</v>
      </c>
      <c r="I13" s="6">
        <f>COUNTIFS(Orders!F2:F41,"fashion",Orders!D2:D41,"chennai",Orders!L2:L41,"delivered")</f>
        <v>3</v>
      </c>
      <c r="S13" s="6">
        <f>SUMIF(Table2[Category],"electronics",Table2[Revenue])</f>
        <v>650900</v>
      </c>
    </row>
  </sheetData>
  <pageMargins left="0.7" right="0.7" top="0.75" bottom="0.75" header="0.3" footer="0.3"/>
  <pageSetup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F06-9470-405D-A4C8-8B50EA760037}">
  <dimension ref="A1:S43"/>
  <sheetViews>
    <sheetView topLeftCell="A22" workbookViewId="0">
      <selection activeCell="A4" sqref="A4:S43"/>
    </sheetView>
  </sheetViews>
  <sheetFormatPr defaultRowHeight="14.4" x14ac:dyDescent="0.3"/>
  <cols>
    <col min="1" max="1" width="10.77734375" bestFit="1" customWidth="1"/>
    <col min="2" max="2" width="12.88671875" bestFit="1" customWidth="1"/>
    <col min="3" max="3" width="11.33203125" bestFit="1" customWidth="1"/>
    <col min="4" max="4" width="9.77734375" bestFit="1" customWidth="1"/>
    <col min="5" max="5" width="9" bestFit="1" customWidth="1"/>
    <col min="6" max="6" width="10.77734375" bestFit="1" customWidth="1"/>
    <col min="7" max="7" width="11.109375" bestFit="1" customWidth="1"/>
    <col min="8" max="8" width="10.5546875" bestFit="1" customWidth="1"/>
    <col min="9" max="9" width="11.88671875" bestFit="1" customWidth="1"/>
    <col min="10" max="10" width="10.5546875" bestFit="1" customWidth="1"/>
    <col min="11" max="11" width="18.6640625" bestFit="1" customWidth="1"/>
    <col min="12" max="12" width="14.21875" bestFit="1" customWidth="1"/>
    <col min="13" max="13" width="10.5546875" bestFit="1" customWidth="1"/>
    <col min="14" max="14" width="12.5546875" bestFit="1" customWidth="1"/>
    <col min="15" max="17" width="9" bestFit="1" customWidth="1"/>
    <col min="18" max="18" width="16.77734375" bestFit="1" customWidth="1"/>
    <col min="19" max="19" width="9" bestFit="1" customWidth="1"/>
    <col min="20" max="20" width="16.88671875" bestFit="1" customWidth="1"/>
  </cols>
  <sheetData>
    <row r="1" spans="1:19" x14ac:dyDescent="0.3">
      <c r="A1" s="16" t="s">
        <v>158</v>
      </c>
    </row>
    <row r="3" spans="1:19" x14ac:dyDescent="0.3">
      <c r="A3" t="s">
        <v>0</v>
      </c>
      <c r="B3" t="s">
        <v>1</v>
      </c>
      <c r="C3" t="s">
        <v>2</v>
      </c>
      <c r="D3" t="s">
        <v>3</v>
      </c>
      <c r="E3" t="s">
        <v>4</v>
      </c>
      <c r="F3" t="s">
        <v>5</v>
      </c>
      <c r="G3" t="s">
        <v>6</v>
      </c>
      <c r="H3" t="s">
        <v>7</v>
      </c>
      <c r="I3" t="s">
        <v>8</v>
      </c>
      <c r="J3" t="s">
        <v>9</v>
      </c>
      <c r="K3" t="s">
        <v>10</v>
      </c>
      <c r="L3" t="s">
        <v>11</v>
      </c>
      <c r="M3" t="s">
        <v>99</v>
      </c>
      <c r="N3" t="s">
        <v>112</v>
      </c>
      <c r="O3" t="s">
        <v>115</v>
      </c>
      <c r="P3" t="s">
        <v>116</v>
      </c>
      <c r="Q3" t="s">
        <v>117</v>
      </c>
      <c r="R3" t="s">
        <v>118</v>
      </c>
      <c r="S3" t="s">
        <v>119</v>
      </c>
    </row>
    <row r="4" spans="1:19" x14ac:dyDescent="0.3">
      <c r="A4" t="s">
        <v>12</v>
      </c>
      <c r="B4" s="15">
        <v>46023</v>
      </c>
      <c r="C4" t="s">
        <v>13</v>
      </c>
      <c r="D4" t="s">
        <v>14</v>
      </c>
      <c r="E4" t="s">
        <v>15</v>
      </c>
      <c r="F4" t="s">
        <v>16</v>
      </c>
      <c r="G4" t="s">
        <v>17</v>
      </c>
      <c r="H4">
        <v>1</v>
      </c>
      <c r="I4">
        <v>55000</v>
      </c>
      <c r="J4">
        <v>0.05</v>
      </c>
      <c r="K4" t="s">
        <v>18</v>
      </c>
      <c r="L4" t="s">
        <v>19</v>
      </c>
      <c r="M4">
        <v>52250</v>
      </c>
      <c r="N4" t="s">
        <v>142</v>
      </c>
      <c r="O4" t="s">
        <v>113</v>
      </c>
      <c r="P4" t="s">
        <v>135</v>
      </c>
      <c r="Q4" t="s">
        <v>137</v>
      </c>
      <c r="R4">
        <v>1</v>
      </c>
      <c r="S4">
        <v>2026</v>
      </c>
    </row>
    <row r="5" spans="1:19" x14ac:dyDescent="0.3">
      <c r="A5" t="s">
        <v>20</v>
      </c>
      <c r="B5" s="15">
        <v>46024</v>
      </c>
      <c r="C5" t="s">
        <v>21</v>
      </c>
      <c r="D5" t="s">
        <v>22</v>
      </c>
      <c r="E5" t="s">
        <v>15</v>
      </c>
      <c r="F5" t="s">
        <v>16</v>
      </c>
      <c r="G5" t="s">
        <v>23</v>
      </c>
      <c r="H5">
        <v>2</v>
      </c>
      <c r="I5">
        <v>25000</v>
      </c>
      <c r="J5">
        <v>0.1</v>
      </c>
      <c r="K5" t="s">
        <v>24</v>
      </c>
      <c r="L5" t="s">
        <v>19</v>
      </c>
      <c r="M5">
        <v>45000</v>
      </c>
      <c r="N5" t="s">
        <v>142</v>
      </c>
      <c r="O5" t="s">
        <v>113</v>
      </c>
      <c r="P5" t="s">
        <v>135</v>
      </c>
      <c r="Q5" t="s">
        <v>137</v>
      </c>
      <c r="R5">
        <v>1</v>
      </c>
      <c r="S5">
        <v>2026</v>
      </c>
    </row>
    <row r="6" spans="1:19" x14ac:dyDescent="0.3">
      <c r="A6" t="s">
        <v>30</v>
      </c>
      <c r="B6" s="15">
        <v>46027</v>
      </c>
      <c r="C6" t="s">
        <v>31</v>
      </c>
      <c r="D6" t="s">
        <v>32</v>
      </c>
      <c r="E6" t="s">
        <v>33</v>
      </c>
      <c r="F6" t="s">
        <v>16</v>
      </c>
      <c r="G6" t="s">
        <v>34</v>
      </c>
      <c r="H6">
        <v>3</v>
      </c>
      <c r="I6">
        <v>2500</v>
      </c>
      <c r="J6">
        <v>0</v>
      </c>
      <c r="K6" t="s">
        <v>35</v>
      </c>
      <c r="L6" t="s">
        <v>19</v>
      </c>
      <c r="M6">
        <v>7500</v>
      </c>
      <c r="N6" t="s">
        <v>134</v>
      </c>
      <c r="O6" t="s">
        <v>135</v>
      </c>
      <c r="P6" t="s">
        <v>135</v>
      </c>
      <c r="Q6" t="s">
        <v>137</v>
      </c>
      <c r="R6">
        <v>1</v>
      </c>
      <c r="S6">
        <v>2026</v>
      </c>
    </row>
    <row r="7" spans="1:19" x14ac:dyDescent="0.3">
      <c r="A7" t="s">
        <v>42</v>
      </c>
      <c r="B7" s="15">
        <v>46031</v>
      </c>
      <c r="C7" t="s">
        <v>43</v>
      </c>
      <c r="D7" t="s">
        <v>44</v>
      </c>
      <c r="E7" t="s">
        <v>33</v>
      </c>
      <c r="F7" t="s">
        <v>16</v>
      </c>
      <c r="G7" t="s">
        <v>45</v>
      </c>
      <c r="H7">
        <v>1</v>
      </c>
      <c r="I7">
        <v>8000</v>
      </c>
      <c r="J7">
        <v>0.05</v>
      </c>
      <c r="K7" t="s">
        <v>18</v>
      </c>
      <c r="L7" t="s">
        <v>19</v>
      </c>
      <c r="M7">
        <v>7600</v>
      </c>
      <c r="N7" t="s">
        <v>134</v>
      </c>
      <c r="O7" t="s">
        <v>135</v>
      </c>
      <c r="P7" t="s">
        <v>135</v>
      </c>
      <c r="Q7" t="s">
        <v>137</v>
      </c>
      <c r="R7">
        <v>1</v>
      </c>
      <c r="S7">
        <v>2026</v>
      </c>
    </row>
    <row r="8" spans="1:19" x14ac:dyDescent="0.3">
      <c r="A8" t="s">
        <v>50</v>
      </c>
      <c r="B8" s="15">
        <v>46035</v>
      </c>
      <c r="C8" t="s">
        <v>51</v>
      </c>
      <c r="D8" t="s">
        <v>52</v>
      </c>
      <c r="E8" t="s">
        <v>53</v>
      </c>
      <c r="F8" t="s">
        <v>16</v>
      </c>
      <c r="G8" t="s">
        <v>54</v>
      </c>
      <c r="H8">
        <v>1</v>
      </c>
      <c r="I8">
        <v>45000</v>
      </c>
      <c r="J8">
        <v>0.08</v>
      </c>
      <c r="K8" t="s">
        <v>24</v>
      </c>
      <c r="L8" t="s">
        <v>19</v>
      </c>
      <c r="M8">
        <v>41400</v>
      </c>
      <c r="N8" t="s">
        <v>142</v>
      </c>
      <c r="O8" t="s">
        <v>113</v>
      </c>
      <c r="P8" t="s">
        <v>135</v>
      </c>
      <c r="Q8" t="s">
        <v>137</v>
      </c>
      <c r="R8">
        <v>1</v>
      </c>
      <c r="S8">
        <v>2026</v>
      </c>
    </row>
    <row r="9" spans="1:19" x14ac:dyDescent="0.3">
      <c r="A9" t="s">
        <v>62</v>
      </c>
      <c r="B9" s="15">
        <v>46042</v>
      </c>
      <c r="C9" t="s">
        <v>13</v>
      </c>
      <c r="D9" t="s">
        <v>14</v>
      </c>
      <c r="E9" t="s">
        <v>15</v>
      </c>
      <c r="F9" t="s">
        <v>16</v>
      </c>
      <c r="G9" t="s">
        <v>23</v>
      </c>
      <c r="H9">
        <v>1</v>
      </c>
      <c r="I9">
        <v>25000</v>
      </c>
      <c r="J9">
        <v>0.05</v>
      </c>
      <c r="K9" t="s">
        <v>24</v>
      </c>
      <c r="L9" t="s">
        <v>19</v>
      </c>
      <c r="M9">
        <v>23750</v>
      </c>
      <c r="N9" t="s">
        <v>142</v>
      </c>
      <c r="O9" t="s">
        <v>113</v>
      </c>
      <c r="P9" t="s">
        <v>135</v>
      </c>
      <c r="Q9" t="s">
        <v>137</v>
      </c>
      <c r="R9">
        <v>1</v>
      </c>
      <c r="S9">
        <v>2026</v>
      </c>
    </row>
    <row r="10" spans="1:19" x14ac:dyDescent="0.3">
      <c r="A10" t="s">
        <v>65</v>
      </c>
      <c r="B10" s="15">
        <v>46048</v>
      </c>
      <c r="C10" t="s">
        <v>31</v>
      </c>
      <c r="D10" t="s">
        <v>32</v>
      </c>
      <c r="E10" t="s">
        <v>33</v>
      </c>
      <c r="F10" t="s">
        <v>16</v>
      </c>
      <c r="G10" t="s">
        <v>17</v>
      </c>
      <c r="H10">
        <v>1</v>
      </c>
      <c r="I10">
        <v>55000</v>
      </c>
      <c r="J10">
        <v>0.1</v>
      </c>
      <c r="K10" t="s">
        <v>18</v>
      </c>
      <c r="L10" t="s">
        <v>19</v>
      </c>
      <c r="M10">
        <v>49500</v>
      </c>
      <c r="N10" t="s">
        <v>142</v>
      </c>
      <c r="O10" t="s">
        <v>113</v>
      </c>
      <c r="P10" t="s">
        <v>135</v>
      </c>
      <c r="Q10" t="s">
        <v>137</v>
      </c>
      <c r="R10">
        <v>1</v>
      </c>
      <c r="S10">
        <v>2026</v>
      </c>
    </row>
    <row r="11" spans="1:19" x14ac:dyDescent="0.3">
      <c r="A11" t="s">
        <v>67</v>
      </c>
      <c r="B11" s="15">
        <v>46054</v>
      </c>
      <c r="C11" t="s">
        <v>43</v>
      </c>
      <c r="D11" t="s">
        <v>44</v>
      </c>
      <c r="E11" t="s">
        <v>33</v>
      </c>
      <c r="F11" t="s">
        <v>16</v>
      </c>
      <c r="G11" t="s">
        <v>54</v>
      </c>
      <c r="H11">
        <v>1</v>
      </c>
      <c r="I11">
        <v>45000</v>
      </c>
      <c r="J11">
        <v>0.08</v>
      </c>
      <c r="K11" t="s">
        <v>24</v>
      </c>
      <c r="L11" t="s">
        <v>19</v>
      </c>
      <c r="M11">
        <v>41400</v>
      </c>
      <c r="N11" t="s">
        <v>142</v>
      </c>
      <c r="O11" t="s">
        <v>113</v>
      </c>
      <c r="P11" t="s">
        <v>135</v>
      </c>
      <c r="Q11" t="s">
        <v>138</v>
      </c>
      <c r="R11">
        <v>2</v>
      </c>
      <c r="S11">
        <v>2026</v>
      </c>
    </row>
    <row r="12" spans="1:19" x14ac:dyDescent="0.3">
      <c r="A12" t="s">
        <v>69</v>
      </c>
      <c r="B12" s="15">
        <v>46058</v>
      </c>
      <c r="C12" t="s">
        <v>51</v>
      </c>
      <c r="D12" t="s">
        <v>52</v>
      </c>
      <c r="E12" t="s">
        <v>53</v>
      </c>
      <c r="F12" t="s">
        <v>16</v>
      </c>
      <c r="G12" t="s">
        <v>34</v>
      </c>
      <c r="H12">
        <v>2</v>
      </c>
      <c r="I12">
        <v>2500</v>
      </c>
      <c r="J12">
        <v>0.05</v>
      </c>
      <c r="K12" t="s">
        <v>24</v>
      </c>
      <c r="L12" t="s">
        <v>19</v>
      </c>
      <c r="M12">
        <v>4750</v>
      </c>
      <c r="N12" t="s">
        <v>134</v>
      </c>
      <c r="O12" t="s">
        <v>135</v>
      </c>
      <c r="P12" t="s">
        <v>135</v>
      </c>
      <c r="Q12" t="s">
        <v>138</v>
      </c>
      <c r="R12">
        <v>2</v>
      </c>
      <c r="S12">
        <v>2026</v>
      </c>
    </row>
    <row r="13" spans="1:19" x14ac:dyDescent="0.3">
      <c r="A13" t="s">
        <v>72</v>
      </c>
      <c r="B13" s="15">
        <v>46065</v>
      </c>
      <c r="C13" t="s">
        <v>13</v>
      </c>
      <c r="D13" t="s">
        <v>14</v>
      </c>
      <c r="E13" t="s">
        <v>15</v>
      </c>
      <c r="F13" t="s">
        <v>16</v>
      </c>
      <c r="G13" t="s">
        <v>17</v>
      </c>
      <c r="H13">
        <v>1</v>
      </c>
      <c r="I13">
        <v>55000</v>
      </c>
      <c r="J13">
        <v>0.05</v>
      </c>
      <c r="K13" t="s">
        <v>18</v>
      </c>
      <c r="L13" t="s">
        <v>19</v>
      </c>
      <c r="M13">
        <v>52250</v>
      </c>
      <c r="N13" t="s">
        <v>142</v>
      </c>
      <c r="O13" t="s">
        <v>113</v>
      </c>
      <c r="P13" t="s">
        <v>135</v>
      </c>
      <c r="Q13" t="s">
        <v>138</v>
      </c>
      <c r="R13">
        <v>2</v>
      </c>
      <c r="S13">
        <v>2026</v>
      </c>
    </row>
    <row r="14" spans="1:19" x14ac:dyDescent="0.3">
      <c r="A14" t="s">
        <v>73</v>
      </c>
      <c r="B14" s="15">
        <v>46068</v>
      </c>
      <c r="C14" t="s">
        <v>21</v>
      </c>
      <c r="D14" t="s">
        <v>22</v>
      </c>
      <c r="E14" t="s">
        <v>15</v>
      </c>
      <c r="F14" t="s">
        <v>16</v>
      </c>
      <c r="G14" t="s">
        <v>23</v>
      </c>
      <c r="H14">
        <v>1</v>
      </c>
      <c r="I14">
        <v>25000</v>
      </c>
      <c r="J14">
        <v>0.1</v>
      </c>
      <c r="K14" t="s">
        <v>24</v>
      </c>
      <c r="L14" t="s">
        <v>19</v>
      </c>
      <c r="M14">
        <v>22500</v>
      </c>
      <c r="N14" t="s">
        <v>142</v>
      </c>
      <c r="O14" t="s">
        <v>113</v>
      </c>
      <c r="P14" t="s">
        <v>135</v>
      </c>
      <c r="Q14" t="s">
        <v>138</v>
      </c>
      <c r="R14">
        <v>2</v>
      </c>
      <c r="S14">
        <v>2026</v>
      </c>
    </row>
    <row r="15" spans="1:19" x14ac:dyDescent="0.3">
      <c r="A15" t="s">
        <v>75</v>
      </c>
      <c r="B15" s="15">
        <v>46073</v>
      </c>
      <c r="C15" t="s">
        <v>31</v>
      </c>
      <c r="D15" t="s">
        <v>32</v>
      </c>
      <c r="E15" t="s">
        <v>33</v>
      </c>
      <c r="F15" t="s">
        <v>16</v>
      </c>
      <c r="G15" t="s">
        <v>45</v>
      </c>
      <c r="H15">
        <v>2</v>
      </c>
      <c r="I15">
        <v>8000</v>
      </c>
      <c r="J15">
        <v>0.05</v>
      </c>
      <c r="K15" t="s">
        <v>24</v>
      </c>
      <c r="L15" t="s">
        <v>19</v>
      </c>
      <c r="M15">
        <v>15200</v>
      </c>
      <c r="N15" t="s">
        <v>134</v>
      </c>
      <c r="O15" t="s">
        <v>135</v>
      </c>
      <c r="P15" t="s">
        <v>135</v>
      </c>
      <c r="Q15" t="s">
        <v>138</v>
      </c>
      <c r="R15">
        <v>2</v>
      </c>
      <c r="S15">
        <v>2026</v>
      </c>
    </row>
    <row r="16" spans="1:19" x14ac:dyDescent="0.3">
      <c r="A16" t="s">
        <v>77</v>
      </c>
      <c r="B16" s="15">
        <v>46078</v>
      </c>
      <c r="C16" t="s">
        <v>43</v>
      </c>
      <c r="D16" t="s">
        <v>44</v>
      </c>
      <c r="E16" t="s">
        <v>33</v>
      </c>
      <c r="F16" t="s">
        <v>16</v>
      </c>
      <c r="G16" t="s">
        <v>54</v>
      </c>
      <c r="H16">
        <v>2</v>
      </c>
      <c r="I16">
        <v>45000</v>
      </c>
      <c r="J16">
        <v>0.08</v>
      </c>
      <c r="K16" t="s">
        <v>18</v>
      </c>
      <c r="L16" t="s">
        <v>19</v>
      </c>
      <c r="M16">
        <v>82800</v>
      </c>
      <c r="N16" t="s">
        <v>142</v>
      </c>
      <c r="O16" t="s">
        <v>113</v>
      </c>
      <c r="P16" t="s">
        <v>135</v>
      </c>
      <c r="Q16" t="s">
        <v>138</v>
      </c>
      <c r="R16">
        <v>2</v>
      </c>
      <c r="S16">
        <v>2026</v>
      </c>
    </row>
    <row r="17" spans="1:19" x14ac:dyDescent="0.3">
      <c r="A17" t="s">
        <v>79</v>
      </c>
      <c r="B17" s="15">
        <v>46082</v>
      </c>
      <c r="C17" t="s">
        <v>51</v>
      </c>
      <c r="D17" t="s">
        <v>52</v>
      </c>
      <c r="E17" t="s">
        <v>53</v>
      </c>
      <c r="F17" t="s">
        <v>16</v>
      </c>
      <c r="G17" t="s">
        <v>34</v>
      </c>
      <c r="H17">
        <v>4</v>
      </c>
      <c r="I17">
        <v>2500</v>
      </c>
      <c r="J17">
        <v>0.05</v>
      </c>
      <c r="K17" t="s">
        <v>18</v>
      </c>
      <c r="L17" t="s">
        <v>19</v>
      </c>
      <c r="M17">
        <v>9500</v>
      </c>
      <c r="N17" t="s">
        <v>134</v>
      </c>
      <c r="O17" t="s">
        <v>135</v>
      </c>
      <c r="P17" t="s">
        <v>135</v>
      </c>
      <c r="Q17" t="s">
        <v>136</v>
      </c>
      <c r="R17">
        <v>3</v>
      </c>
      <c r="S17">
        <v>2026</v>
      </c>
    </row>
    <row r="18" spans="1:19" x14ac:dyDescent="0.3">
      <c r="A18" t="s">
        <v>82</v>
      </c>
      <c r="B18" s="15">
        <v>46089</v>
      </c>
      <c r="C18" t="s">
        <v>13</v>
      </c>
      <c r="D18" t="s">
        <v>14</v>
      </c>
      <c r="E18" t="s">
        <v>15</v>
      </c>
      <c r="F18" t="s">
        <v>16</v>
      </c>
      <c r="G18" t="s">
        <v>23</v>
      </c>
      <c r="H18">
        <v>2</v>
      </c>
      <c r="I18">
        <v>25000</v>
      </c>
      <c r="J18">
        <v>0.05</v>
      </c>
      <c r="K18" t="s">
        <v>24</v>
      </c>
      <c r="L18" t="s">
        <v>19</v>
      </c>
      <c r="M18">
        <v>47500</v>
      </c>
      <c r="N18" t="s">
        <v>142</v>
      </c>
      <c r="O18" t="s">
        <v>113</v>
      </c>
      <c r="P18" t="s">
        <v>135</v>
      </c>
      <c r="Q18" t="s">
        <v>136</v>
      </c>
      <c r="R18">
        <v>3</v>
      </c>
      <c r="S18">
        <v>2026</v>
      </c>
    </row>
    <row r="19" spans="1:19" x14ac:dyDescent="0.3">
      <c r="A19" t="s">
        <v>85</v>
      </c>
      <c r="B19" s="15">
        <v>46096</v>
      </c>
      <c r="C19" t="s">
        <v>31</v>
      </c>
      <c r="D19" t="s">
        <v>32</v>
      </c>
      <c r="E19" t="s">
        <v>33</v>
      </c>
      <c r="F19" t="s">
        <v>16</v>
      </c>
      <c r="G19" t="s">
        <v>17</v>
      </c>
      <c r="H19">
        <v>2</v>
      </c>
      <c r="I19">
        <v>55000</v>
      </c>
      <c r="J19">
        <v>0.1</v>
      </c>
      <c r="K19" t="s">
        <v>18</v>
      </c>
      <c r="L19" t="s">
        <v>19</v>
      </c>
      <c r="M19">
        <v>99000</v>
      </c>
      <c r="N19" t="s">
        <v>142</v>
      </c>
      <c r="O19" t="s">
        <v>113</v>
      </c>
      <c r="P19" t="s">
        <v>135</v>
      </c>
      <c r="Q19" t="s">
        <v>136</v>
      </c>
      <c r="R19">
        <v>3</v>
      </c>
      <c r="S19">
        <v>2026</v>
      </c>
    </row>
    <row r="20" spans="1:19" x14ac:dyDescent="0.3">
      <c r="A20" t="s">
        <v>87</v>
      </c>
      <c r="B20" s="15">
        <v>46101</v>
      </c>
      <c r="C20" t="s">
        <v>43</v>
      </c>
      <c r="D20" t="s">
        <v>44</v>
      </c>
      <c r="E20" t="s">
        <v>33</v>
      </c>
      <c r="F20" t="s">
        <v>16</v>
      </c>
      <c r="G20" t="s">
        <v>45</v>
      </c>
      <c r="H20">
        <v>1</v>
      </c>
      <c r="I20">
        <v>8000</v>
      </c>
      <c r="J20">
        <v>0.05</v>
      </c>
      <c r="K20" t="s">
        <v>24</v>
      </c>
      <c r="L20" t="s">
        <v>19</v>
      </c>
      <c r="M20">
        <v>7600</v>
      </c>
      <c r="N20" t="s">
        <v>134</v>
      </c>
      <c r="O20" t="s">
        <v>135</v>
      </c>
      <c r="P20" t="s">
        <v>135</v>
      </c>
      <c r="Q20" t="s">
        <v>136</v>
      </c>
      <c r="R20">
        <v>3</v>
      </c>
      <c r="S20">
        <v>2026</v>
      </c>
    </row>
    <row r="21" spans="1:19" x14ac:dyDescent="0.3">
      <c r="A21" t="s">
        <v>89</v>
      </c>
      <c r="B21" s="15">
        <v>46106</v>
      </c>
      <c r="C21" t="s">
        <v>51</v>
      </c>
      <c r="D21" t="s">
        <v>52</v>
      </c>
      <c r="E21" t="s">
        <v>53</v>
      </c>
      <c r="F21" t="s">
        <v>16</v>
      </c>
      <c r="G21" t="s">
        <v>54</v>
      </c>
      <c r="H21">
        <v>1</v>
      </c>
      <c r="I21">
        <v>45000</v>
      </c>
      <c r="J21">
        <v>0.08</v>
      </c>
      <c r="K21" t="s">
        <v>24</v>
      </c>
      <c r="L21" t="s">
        <v>19</v>
      </c>
      <c r="M21">
        <v>41400</v>
      </c>
      <c r="N21" t="s">
        <v>142</v>
      </c>
      <c r="O21" t="s">
        <v>113</v>
      </c>
      <c r="P21" t="s">
        <v>135</v>
      </c>
      <c r="Q21" t="s">
        <v>136</v>
      </c>
      <c r="R21">
        <v>3</v>
      </c>
      <c r="S21">
        <v>2026</v>
      </c>
    </row>
    <row r="22" spans="1:19" x14ac:dyDescent="0.3">
      <c r="A22" t="s">
        <v>25</v>
      </c>
      <c r="B22" s="15">
        <v>46025</v>
      </c>
      <c r="C22" t="s">
        <v>26</v>
      </c>
      <c r="D22" t="s">
        <v>27</v>
      </c>
      <c r="E22" t="s">
        <v>15</v>
      </c>
      <c r="F22" t="s">
        <v>28</v>
      </c>
      <c r="G22" t="s">
        <v>29</v>
      </c>
      <c r="H22">
        <v>2</v>
      </c>
      <c r="I22">
        <v>3500</v>
      </c>
      <c r="J22">
        <v>0.05</v>
      </c>
      <c r="K22" t="s">
        <v>18</v>
      </c>
      <c r="L22" t="s">
        <v>19</v>
      </c>
      <c r="M22">
        <v>6650</v>
      </c>
      <c r="N22" t="s">
        <v>134</v>
      </c>
      <c r="O22" t="s">
        <v>135</v>
      </c>
      <c r="P22" t="s">
        <v>135</v>
      </c>
      <c r="Q22" t="s">
        <v>137</v>
      </c>
      <c r="R22">
        <v>1</v>
      </c>
      <c r="S22">
        <v>2026</v>
      </c>
    </row>
    <row r="23" spans="1:19" x14ac:dyDescent="0.3">
      <c r="A23" t="s">
        <v>36</v>
      </c>
      <c r="B23" s="15">
        <v>46029</v>
      </c>
      <c r="C23" t="s">
        <v>37</v>
      </c>
      <c r="D23" t="s">
        <v>38</v>
      </c>
      <c r="E23" t="s">
        <v>39</v>
      </c>
      <c r="F23" t="s">
        <v>28</v>
      </c>
      <c r="G23" t="s">
        <v>40</v>
      </c>
      <c r="H23">
        <v>4</v>
      </c>
      <c r="I23">
        <v>1200</v>
      </c>
      <c r="J23">
        <v>0.1</v>
      </c>
      <c r="K23" t="s">
        <v>24</v>
      </c>
      <c r="L23" t="s">
        <v>41</v>
      </c>
      <c r="M23">
        <v>4320</v>
      </c>
      <c r="N23" t="s">
        <v>134</v>
      </c>
      <c r="O23" t="s">
        <v>135</v>
      </c>
      <c r="P23" t="s">
        <v>157</v>
      </c>
      <c r="Q23" t="s">
        <v>137</v>
      </c>
      <c r="R23">
        <v>1</v>
      </c>
      <c r="S23">
        <v>2026</v>
      </c>
    </row>
    <row r="24" spans="1:19" x14ac:dyDescent="0.3">
      <c r="A24" t="s">
        <v>59</v>
      </c>
      <c r="B24" s="15">
        <v>46040</v>
      </c>
      <c r="C24" t="s">
        <v>60</v>
      </c>
      <c r="D24" t="s">
        <v>38</v>
      </c>
      <c r="E24" t="s">
        <v>39</v>
      </c>
      <c r="F24" t="s">
        <v>28</v>
      </c>
      <c r="G24" t="s">
        <v>61</v>
      </c>
      <c r="H24">
        <v>2</v>
      </c>
      <c r="I24">
        <v>2200</v>
      </c>
      <c r="J24">
        <v>0.1</v>
      </c>
      <c r="K24" t="s">
        <v>35</v>
      </c>
      <c r="L24" t="s">
        <v>19</v>
      </c>
      <c r="M24">
        <v>3960</v>
      </c>
      <c r="N24" t="s">
        <v>134</v>
      </c>
      <c r="O24" t="s">
        <v>135</v>
      </c>
      <c r="P24" t="s">
        <v>135</v>
      </c>
      <c r="Q24" t="s">
        <v>137</v>
      </c>
      <c r="R24">
        <v>1</v>
      </c>
      <c r="S24">
        <v>2026</v>
      </c>
    </row>
    <row r="25" spans="1:19" x14ac:dyDescent="0.3">
      <c r="A25" t="s">
        <v>64</v>
      </c>
      <c r="B25" s="15">
        <v>46046</v>
      </c>
      <c r="C25" t="s">
        <v>26</v>
      </c>
      <c r="D25" t="s">
        <v>27</v>
      </c>
      <c r="E25" t="s">
        <v>15</v>
      </c>
      <c r="F25" t="s">
        <v>28</v>
      </c>
      <c r="G25" t="s">
        <v>29</v>
      </c>
      <c r="H25">
        <v>1</v>
      </c>
      <c r="I25">
        <v>3500</v>
      </c>
      <c r="J25">
        <v>0.05</v>
      </c>
      <c r="K25" t="s">
        <v>24</v>
      </c>
      <c r="L25" t="s">
        <v>19</v>
      </c>
      <c r="M25">
        <v>3325</v>
      </c>
      <c r="N25" t="s">
        <v>134</v>
      </c>
      <c r="O25" t="s">
        <v>135</v>
      </c>
      <c r="P25" t="s">
        <v>135</v>
      </c>
      <c r="Q25" t="s">
        <v>137</v>
      </c>
      <c r="R25">
        <v>1</v>
      </c>
      <c r="S25">
        <v>2026</v>
      </c>
    </row>
    <row r="26" spans="1:19" x14ac:dyDescent="0.3">
      <c r="A26" t="s">
        <v>68</v>
      </c>
      <c r="B26" s="15">
        <v>46056</v>
      </c>
      <c r="C26" t="s">
        <v>47</v>
      </c>
      <c r="D26" t="s">
        <v>14</v>
      </c>
      <c r="E26" t="s">
        <v>15</v>
      </c>
      <c r="F26" t="s">
        <v>28</v>
      </c>
      <c r="G26" t="s">
        <v>40</v>
      </c>
      <c r="H26">
        <v>5</v>
      </c>
      <c r="I26">
        <v>1200</v>
      </c>
      <c r="J26">
        <v>0.1</v>
      </c>
      <c r="K26" t="s">
        <v>18</v>
      </c>
      <c r="L26" t="s">
        <v>19</v>
      </c>
      <c r="M26">
        <v>5400</v>
      </c>
      <c r="N26" t="s">
        <v>134</v>
      </c>
      <c r="O26" t="s">
        <v>135</v>
      </c>
      <c r="P26" t="s">
        <v>135</v>
      </c>
      <c r="Q26" t="s">
        <v>138</v>
      </c>
      <c r="R26">
        <v>2</v>
      </c>
      <c r="S26">
        <v>2026</v>
      </c>
    </row>
    <row r="27" spans="1:19" x14ac:dyDescent="0.3">
      <c r="A27" t="s">
        <v>71</v>
      </c>
      <c r="B27" s="15">
        <v>46063</v>
      </c>
      <c r="C27" t="s">
        <v>60</v>
      </c>
      <c r="D27" t="s">
        <v>38</v>
      </c>
      <c r="E27" t="s">
        <v>39</v>
      </c>
      <c r="F27" t="s">
        <v>28</v>
      </c>
      <c r="G27" t="s">
        <v>61</v>
      </c>
      <c r="H27">
        <v>3</v>
      </c>
      <c r="I27">
        <v>2200</v>
      </c>
      <c r="J27">
        <v>0.1</v>
      </c>
      <c r="K27" t="s">
        <v>35</v>
      </c>
      <c r="L27" t="s">
        <v>19</v>
      </c>
      <c r="M27">
        <v>5940</v>
      </c>
      <c r="N27" t="s">
        <v>134</v>
      </c>
      <c r="O27" t="s">
        <v>135</v>
      </c>
      <c r="P27" t="s">
        <v>135</v>
      </c>
      <c r="Q27" t="s">
        <v>138</v>
      </c>
      <c r="R27">
        <v>2</v>
      </c>
      <c r="S27">
        <v>2026</v>
      </c>
    </row>
    <row r="28" spans="1:19" x14ac:dyDescent="0.3">
      <c r="A28" t="s">
        <v>74</v>
      </c>
      <c r="B28" s="15">
        <v>46071</v>
      </c>
      <c r="C28" t="s">
        <v>26</v>
      </c>
      <c r="D28" t="s">
        <v>27</v>
      </c>
      <c r="E28" t="s">
        <v>15</v>
      </c>
      <c r="F28" t="s">
        <v>28</v>
      </c>
      <c r="G28" t="s">
        <v>29</v>
      </c>
      <c r="H28">
        <v>3</v>
      </c>
      <c r="I28">
        <v>3500</v>
      </c>
      <c r="J28">
        <v>0.05</v>
      </c>
      <c r="K28" t="s">
        <v>18</v>
      </c>
      <c r="L28" t="s">
        <v>19</v>
      </c>
      <c r="M28">
        <v>9975</v>
      </c>
      <c r="N28" t="s">
        <v>134</v>
      </c>
      <c r="O28" t="s">
        <v>135</v>
      </c>
      <c r="P28" t="s">
        <v>135</v>
      </c>
      <c r="Q28" t="s">
        <v>138</v>
      </c>
      <c r="R28">
        <v>2</v>
      </c>
      <c r="S28">
        <v>2026</v>
      </c>
    </row>
    <row r="29" spans="1:19" x14ac:dyDescent="0.3">
      <c r="A29" t="s">
        <v>78</v>
      </c>
      <c r="B29" s="15">
        <v>46080</v>
      </c>
      <c r="C29" t="s">
        <v>47</v>
      </c>
      <c r="D29" t="s">
        <v>14</v>
      </c>
      <c r="E29" t="s">
        <v>15</v>
      </c>
      <c r="F29" t="s">
        <v>28</v>
      </c>
      <c r="G29" t="s">
        <v>61</v>
      </c>
      <c r="H29">
        <v>2</v>
      </c>
      <c r="I29">
        <v>2200</v>
      </c>
      <c r="J29">
        <v>0.1</v>
      </c>
      <c r="K29" t="s">
        <v>24</v>
      </c>
      <c r="L29" t="s">
        <v>19</v>
      </c>
      <c r="M29">
        <v>3960</v>
      </c>
      <c r="N29" t="s">
        <v>134</v>
      </c>
      <c r="O29" t="s">
        <v>135</v>
      </c>
      <c r="P29" t="s">
        <v>135</v>
      </c>
      <c r="Q29" t="s">
        <v>138</v>
      </c>
      <c r="R29">
        <v>2</v>
      </c>
      <c r="S29">
        <v>2026</v>
      </c>
    </row>
    <row r="30" spans="1:19" x14ac:dyDescent="0.3">
      <c r="A30" t="s">
        <v>81</v>
      </c>
      <c r="B30" s="15">
        <v>46086</v>
      </c>
      <c r="C30" t="s">
        <v>60</v>
      </c>
      <c r="D30" t="s">
        <v>38</v>
      </c>
      <c r="E30" t="s">
        <v>39</v>
      </c>
      <c r="F30" t="s">
        <v>28</v>
      </c>
      <c r="G30" t="s">
        <v>40</v>
      </c>
      <c r="H30">
        <v>3</v>
      </c>
      <c r="I30">
        <v>1200</v>
      </c>
      <c r="J30">
        <v>0.1</v>
      </c>
      <c r="K30" t="s">
        <v>35</v>
      </c>
      <c r="L30" t="s">
        <v>19</v>
      </c>
      <c r="M30">
        <v>3240</v>
      </c>
      <c r="N30" t="s">
        <v>134</v>
      </c>
      <c r="O30" t="s">
        <v>135</v>
      </c>
      <c r="P30" t="s">
        <v>135</v>
      </c>
      <c r="Q30" t="s">
        <v>136</v>
      </c>
      <c r="R30">
        <v>3</v>
      </c>
      <c r="S30">
        <v>2026</v>
      </c>
    </row>
    <row r="31" spans="1:19" x14ac:dyDescent="0.3">
      <c r="A31" t="s">
        <v>84</v>
      </c>
      <c r="B31" s="15">
        <v>46093</v>
      </c>
      <c r="C31" t="s">
        <v>26</v>
      </c>
      <c r="D31" t="s">
        <v>27</v>
      </c>
      <c r="E31" t="s">
        <v>15</v>
      </c>
      <c r="F31" t="s">
        <v>28</v>
      </c>
      <c r="G31" t="s">
        <v>29</v>
      </c>
      <c r="H31">
        <v>2</v>
      </c>
      <c r="I31">
        <v>3500</v>
      </c>
      <c r="J31">
        <v>0.05</v>
      </c>
      <c r="K31" t="s">
        <v>24</v>
      </c>
      <c r="L31" t="s">
        <v>19</v>
      </c>
      <c r="M31">
        <v>6650</v>
      </c>
      <c r="N31" t="s">
        <v>134</v>
      </c>
      <c r="O31" t="s">
        <v>135</v>
      </c>
      <c r="P31" t="s">
        <v>135</v>
      </c>
      <c r="Q31" t="s">
        <v>136</v>
      </c>
      <c r="R31">
        <v>3</v>
      </c>
      <c r="S31">
        <v>2026</v>
      </c>
    </row>
    <row r="32" spans="1:19" x14ac:dyDescent="0.3">
      <c r="A32" t="s">
        <v>88</v>
      </c>
      <c r="B32" s="15">
        <v>46103</v>
      </c>
      <c r="C32" t="s">
        <v>47</v>
      </c>
      <c r="D32" t="s">
        <v>14</v>
      </c>
      <c r="E32" t="s">
        <v>15</v>
      </c>
      <c r="F32" t="s">
        <v>28</v>
      </c>
      <c r="G32" t="s">
        <v>40</v>
      </c>
      <c r="H32">
        <v>4</v>
      </c>
      <c r="I32">
        <v>1200</v>
      </c>
      <c r="J32">
        <v>0.1</v>
      </c>
      <c r="K32" t="s">
        <v>18</v>
      </c>
      <c r="L32" t="s">
        <v>19</v>
      </c>
      <c r="M32">
        <v>4320</v>
      </c>
      <c r="N32" t="s">
        <v>134</v>
      </c>
      <c r="O32" t="s">
        <v>135</v>
      </c>
      <c r="P32" t="s">
        <v>135</v>
      </c>
      <c r="Q32" t="s">
        <v>136</v>
      </c>
      <c r="R32">
        <v>3</v>
      </c>
      <c r="S32">
        <v>2026</v>
      </c>
    </row>
    <row r="33" spans="1:19" x14ac:dyDescent="0.3">
      <c r="A33" t="s">
        <v>91</v>
      </c>
      <c r="B33" s="15">
        <v>46111</v>
      </c>
      <c r="C33" t="s">
        <v>60</v>
      </c>
      <c r="D33" t="s">
        <v>38</v>
      </c>
      <c r="E33" t="s">
        <v>39</v>
      </c>
      <c r="F33" t="s">
        <v>28</v>
      </c>
      <c r="G33" t="s">
        <v>61</v>
      </c>
      <c r="H33">
        <v>2</v>
      </c>
      <c r="I33">
        <v>2200</v>
      </c>
      <c r="J33">
        <v>0.1</v>
      </c>
      <c r="K33" t="s">
        <v>35</v>
      </c>
      <c r="L33" t="s">
        <v>19</v>
      </c>
      <c r="M33">
        <v>3960</v>
      </c>
      <c r="N33" t="s">
        <v>134</v>
      </c>
      <c r="O33" t="s">
        <v>135</v>
      </c>
      <c r="P33" t="s">
        <v>135</v>
      </c>
      <c r="Q33" t="s">
        <v>136</v>
      </c>
      <c r="R33">
        <v>3</v>
      </c>
      <c r="S33">
        <v>2026</v>
      </c>
    </row>
    <row r="34" spans="1:19" x14ac:dyDescent="0.3">
      <c r="A34" t="s">
        <v>46</v>
      </c>
      <c r="B34" s="15">
        <v>46033</v>
      </c>
      <c r="C34" t="s">
        <v>47</v>
      </c>
      <c r="D34" t="s">
        <v>14</v>
      </c>
      <c r="E34" t="s">
        <v>15</v>
      </c>
      <c r="F34" t="s">
        <v>48</v>
      </c>
      <c r="G34" t="s">
        <v>49</v>
      </c>
      <c r="H34">
        <v>2</v>
      </c>
      <c r="I34">
        <v>1800</v>
      </c>
      <c r="J34">
        <v>0</v>
      </c>
      <c r="K34" t="s">
        <v>18</v>
      </c>
      <c r="L34" t="s">
        <v>19</v>
      </c>
      <c r="M34">
        <v>3600</v>
      </c>
      <c r="N34" t="s">
        <v>134</v>
      </c>
      <c r="O34" t="s">
        <v>135</v>
      </c>
      <c r="P34" t="s">
        <v>135</v>
      </c>
      <c r="Q34" t="s">
        <v>137</v>
      </c>
      <c r="R34">
        <v>1</v>
      </c>
      <c r="S34">
        <v>2026</v>
      </c>
    </row>
    <row r="35" spans="1:19" x14ac:dyDescent="0.3">
      <c r="A35" t="s">
        <v>55</v>
      </c>
      <c r="B35" s="15">
        <v>46037</v>
      </c>
      <c r="C35" t="s">
        <v>56</v>
      </c>
      <c r="D35" t="s">
        <v>22</v>
      </c>
      <c r="E35" t="s">
        <v>15</v>
      </c>
      <c r="F35" t="s">
        <v>48</v>
      </c>
      <c r="G35" t="s">
        <v>57</v>
      </c>
      <c r="H35">
        <v>2</v>
      </c>
      <c r="I35">
        <v>3000</v>
      </c>
      <c r="J35">
        <v>0.05</v>
      </c>
      <c r="K35" t="s">
        <v>18</v>
      </c>
      <c r="L35" t="s">
        <v>58</v>
      </c>
      <c r="M35">
        <v>5700</v>
      </c>
      <c r="N35" t="s">
        <v>134</v>
      </c>
      <c r="O35" t="s">
        <v>135</v>
      </c>
      <c r="P35" t="s">
        <v>157</v>
      </c>
      <c r="Q35" t="s">
        <v>137</v>
      </c>
      <c r="R35">
        <v>1</v>
      </c>
      <c r="S35">
        <v>2026</v>
      </c>
    </row>
    <row r="36" spans="1:19" x14ac:dyDescent="0.3">
      <c r="A36" t="s">
        <v>63</v>
      </c>
      <c r="B36" s="15">
        <v>46044</v>
      </c>
      <c r="C36" t="s">
        <v>21</v>
      </c>
      <c r="D36" t="s">
        <v>22</v>
      </c>
      <c r="E36" t="s">
        <v>15</v>
      </c>
      <c r="F36" t="s">
        <v>48</v>
      </c>
      <c r="G36" t="s">
        <v>49</v>
      </c>
      <c r="H36">
        <v>3</v>
      </c>
      <c r="I36">
        <v>1800</v>
      </c>
      <c r="J36">
        <v>0</v>
      </c>
      <c r="K36" t="s">
        <v>18</v>
      </c>
      <c r="L36" t="s">
        <v>19</v>
      </c>
      <c r="M36">
        <v>5400</v>
      </c>
      <c r="N36" t="s">
        <v>134</v>
      </c>
      <c r="O36" t="s">
        <v>135</v>
      </c>
      <c r="P36" t="s">
        <v>135</v>
      </c>
      <c r="Q36" t="s">
        <v>137</v>
      </c>
      <c r="R36">
        <v>1</v>
      </c>
      <c r="S36">
        <v>2026</v>
      </c>
    </row>
    <row r="37" spans="1:19" x14ac:dyDescent="0.3">
      <c r="A37" t="s">
        <v>66</v>
      </c>
      <c r="B37" s="15">
        <v>46050</v>
      </c>
      <c r="C37" t="s">
        <v>37</v>
      </c>
      <c r="D37" t="s">
        <v>38</v>
      </c>
      <c r="E37" t="s">
        <v>39</v>
      </c>
      <c r="F37" t="s">
        <v>48</v>
      </c>
      <c r="G37" t="s">
        <v>57</v>
      </c>
      <c r="H37">
        <v>2</v>
      </c>
      <c r="I37">
        <v>3000</v>
      </c>
      <c r="J37">
        <v>0.05</v>
      </c>
      <c r="K37" t="s">
        <v>35</v>
      </c>
      <c r="L37" t="s">
        <v>41</v>
      </c>
      <c r="M37">
        <v>5700</v>
      </c>
      <c r="N37" t="s">
        <v>134</v>
      </c>
      <c r="O37" t="s">
        <v>135</v>
      </c>
      <c r="P37" t="s">
        <v>157</v>
      </c>
      <c r="Q37" t="s">
        <v>137</v>
      </c>
      <c r="R37">
        <v>1</v>
      </c>
      <c r="S37">
        <v>2026</v>
      </c>
    </row>
    <row r="38" spans="1:19" x14ac:dyDescent="0.3">
      <c r="A38" t="s">
        <v>70</v>
      </c>
      <c r="B38" s="15">
        <v>46060</v>
      </c>
      <c r="C38" t="s">
        <v>56</v>
      </c>
      <c r="D38" t="s">
        <v>22</v>
      </c>
      <c r="E38" t="s">
        <v>15</v>
      </c>
      <c r="F38" t="s">
        <v>48</v>
      </c>
      <c r="G38" t="s">
        <v>49</v>
      </c>
      <c r="H38">
        <v>1</v>
      </c>
      <c r="I38">
        <v>1800</v>
      </c>
      <c r="J38">
        <v>0</v>
      </c>
      <c r="K38" t="s">
        <v>18</v>
      </c>
      <c r="L38" t="s">
        <v>58</v>
      </c>
      <c r="M38">
        <v>1800</v>
      </c>
      <c r="N38" t="s">
        <v>134</v>
      </c>
      <c r="O38" t="s">
        <v>135</v>
      </c>
      <c r="P38" t="s">
        <v>157</v>
      </c>
      <c r="Q38" t="s">
        <v>138</v>
      </c>
      <c r="R38">
        <v>2</v>
      </c>
      <c r="S38">
        <v>2026</v>
      </c>
    </row>
    <row r="39" spans="1:19" x14ac:dyDescent="0.3">
      <c r="A39" t="s">
        <v>76</v>
      </c>
      <c r="B39" s="15">
        <v>46075</v>
      </c>
      <c r="C39" t="s">
        <v>37</v>
      </c>
      <c r="D39" t="s">
        <v>38</v>
      </c>
      <c r="E39" t="s">
        <v>39</v>
      </c>
      <c r="F39" t="s">
        <v>48</v>
      </c>
      <c r="G39" t="s">
        <v>57</v>
      </c>
      <c r="H39">
        <v>1</v>
      </c>
      <c r="I39">
        <v>3000</v>
      </c>
      <c r="J39">
        <v>0</v>
      </c>
      <c r="K39" t="s">
        <v>35</v>
      </c>
      <c r="L39" t="s">
        <v>19</v>
      </c>
      <c r="M39">
        <v>3000</v>
      </c>
      <c r="N39" t="s">
        <v>134</v>
      </c>
      <c r="O39" t="s">
        <v>135</v>
      </c>
      <c r="P39" t="s">
        <v>135</v>
      </c>
      <c r="Q39" t="s">
        <v>138</v>
      </c>
      <c r="R39">
        <v>2</v>
      </c>
      <c r="S39">
        <v>2026</v>
      </c>
    </row>
    <row r="40" spans="1:19" x14ac:dyDescent="0.3">
      <c r="A40" t="s">
        <v>80</v>
      </c>
      <c r="B40" s="15">
        <v>46084</v>
      </c>
      <c r="C40" t="s">
        <v>56</v>
      </c>
      <c r="D40" t="s">
        <v>22</v>
      </c>
      <c r="E40" t="s">
        <v>15</v>
      </c>
      <c r="F40" t="s">
        <v>48</v>
      </c>
      <c r="G40" t="s">
        <v>49</v>
      </c>
      <c r="H40">
        <v>2</v>
      </c>
      <c r="I40">
        <v>1800</v>
      </c>
      <c r="J40">
        <v>0</v>
      </c>
      <c r="K40" t="s">
        <v>18</v>
      </c>
      <c r="L40" t="s">
        <v>58</v>
      </c>
      <c r="M40">
        <v>3600</v>
      </c>
      <c r="N40" t="s">
        <v>134</v>
      </c>
      <c r="O40" t="s">
        <v>135</v>
      </c>
      <c r="P40" t="s">
        <v>157</v>
      </c>
      <c r="Q40" t="s">
        <v>136</v>
      </c>
      <c r="R40">
        <v>3</v>
      </c>
      <c r="S40">
        <v>2026</v>
      </c>
    </row>
    <row r="41" spans="1:19" x14ac:dyDescent="0.3">
      <c r="A41" t="s">
        <v>83</v>
      </c>
      <c r="B41" s="15">
        <v>46091</v>
      </c>
      <c r="C41" t="s">
        <v>21</v>
      </c>
      <c r="D41" t="s">
        <v>22</v>
      </c>
      <c r="E41" t="s">
        <v>15</v>
      </c>
      <c r="F41" t="s">
        <v>48</v>
      </c>
      <c r="G41" t="s">
        <v>57</v>
      </c>
      <c r="H41">
        <v>3</v>
      </c>
      <c r="I41">
        <v>3000</v>
      </c>
      <c r="J41">
        <v>0.05</v>
      </c>
      <c r="K41" t="s">
        <v>18</v>
      </c>
      <c r="L41" t="s">
        <v>19</v>
      </c>
      <c r="M41">
        <v>8550</v>
      </c>
      <c r="N41" t="s">
        <v>134</v>
      </c>
      <c r="O41" t="s">
        <v>135</v>
      </c>
      <c r="P41" t="s">
        <v>135</v>
      </c>
      <c r="Q41" t="s">
        <v>136</v>
      </c>
      <c r="R41">
        <v>3</v>
      </c>
      <c r="S41">
        <v>2026</v>
      </c>
    </row>
    <row r="42" spans="1:19" x14ac:dyDescent="0.3">
      <c r="A42" t="s">
        <v>86</v>
      </c>
      <c r="B42" s="15">
        <v>46099</v>
      </c>
      <c r="C42" t="s">
        <v>37</v>
      </c>
      <c r="D42" t="s">
        <v>38</v>
      </c>
      <c r="E42" t="s">
        <v>39</v>
      </c>
      <c r="F42" t="s">
        <v>48</v>
      </c>
      <c r="G42" t="s">
        <v>49</v>
      </c>
      <c r="H42">
        <v>2</v>
      </c>
      <c r="I42">
        <v>1800</v>
      </c>
      <c r="J42">
        <v>0</v>
      </c>
      <c r="K42" t="s">
        <v>35</v>
      </c>
      <c r="L42" t="s">
        <v>41</v>
      </c>
      <c r="M42">
        <v>3600</v>
      </c>
      <c r="N42" t="s">
        <v>134</v>
      </c>
      <c r="O42" t="s">
        <v>135</v>
      </c>
      <c r="P42" t="s">
        <v>157</v>
      </c>
      <c r="Q42" t="s">
        <v>136</v>
      </c>
      <c r="R42">
        <v>3</v>
      </c>
      <c r="S42">
        <v>2026</v>
      </c>
    </row>
    <row r="43" spans="1:19" x14ac:dyDescent="0.3">
      <c r="A43" t="s">
        <v>90</v>
      </c>
      <c r="B43" s="15">
        <v>46108</v>
      </c>
      <c r="C43" t="s">
        <v>56</v>
      </c>
      <c r="D43" t="s">
        <v>22</v>
      </c>
      <c r="E43" t="s">
        <v>15</v>
      </c>
      <c r="F43" t="s">
        <v>48</v>
      </c>
      <c r="G43" t="s">
        <v>57</v>
      </c>
      <c r="H43">
        <v>2</v>
      </c>
      <c r="I43">
        <v>3000</v>
      </c>
      <c r="J43">
        <v>0.05</v>
      </c>
      <c r="K43" t="s">
        <v>18</v>
      </c>
      <c r="L43" t="s">
        <v>58</v>
      </c>
      <c r="M43">
        <v>5700</v>
      </c>
      <c r="N43" t="s">
        <v>134</v>
      </c>
      <c r="O43" t="s">
        <v>135</v>
      </c>
      <c r="P43" t="s">
        <v>157</v>
      </c>
      <c r="Q43" t="s">
        <v>136</v>
      </c>
      <c r="R43">
        <v>3</v>
      </c>
      <c r="S43">
        <v>2026</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64F4-B032-4BB0-8596-0ED0457939B1}">
  <dimension ref="A1:AI113"/>
  <sheetViews>
    <sheetView tabSelected="1" topLeftCell="A40" zoomScale="52" zoomScaleNormal="52" workbookViewId="0">
      <selection activeCell="H11" sqref="H11"/>
    </sheetView>
  </sheetViews>
  <sheetFormatPr defaultRowHeight="14.4" x14ac:dyDescent="0.3"/>
  <cols>
    <col min="1" max="1" width="9.44140625" customWidth="1"/>
    <col min="2" max="2" width="26.21875" customWidth="1"/>
    <col min="3" max="3" width="32" customWidth="1"/>
    <col min="4" max="4" width="17.6640625" bestFit="1" customWidth="1"/>
    <col min="5" max="5" width="24.44140625" customWidth="1"/>
    <col min="6" max="6" width="40.44140625" customWidth="1"/>
    <col min="7" max="7" width="26.77734375" customWidth="1"/>
    <col min="8" max="8" width="15.21875" bestFit="1" customWidth="1"/>
    <col min="9" max="9" width="33.44140625" customWidth="1"/>
    <col min="10" max="10" width="36" customWidth="1"/>
    <col min="11" max="11" width="19.21875" bestFit="1" customWidth="1"/>
    <col min="12" max="12" width="19.5546875" customWidth="1"/>
    <col min="13" max="13" width="12" bestFit="1" customWidth="1"/>
    <col min="14" max="14" width="15.5546875" bestFit="1" customWidth="1"/>
    <col min="17" max="17" width="11.5546875" bestFit="1" customWidth="1"/>
    <col min="18" max="18" width="16.44140625" bestFit="1" customWidth="1"/>
    <col min="19" max="19" width="12.5546875" bestFit="1" customWidth="1"/>
    <col min="20" max="20" width="13" customWidth="1"/>
    <col min="21" max="21" width="8.88671875" hidden="1" customWidth="1"/>
    <col min="24" max="24" width="18.88671875" customWidth="1"/>
    <col min="25" max="25" width="23.6640625" customWidth="1"/>
    <col min="26" max="26" width="17.21875" customWidth="1"/>
    <col min="27" max="27" width="38.88671875" customWidth="1"/>
    <col min="28" max="28" width="52.109375" customWidth="1"/>
    <col min="29" max="29" width="44.44140625" customWidth="1"/>
    <col min="30" max="30" width="41.88671875" customWidth="1"/>
    <col min="31" max="31" width="28.21875" customWidth="1"/>
    <col min="32" max="32" width="16" customWidth="1"/>
    <col min="33" max="33" width="17.77734375" customWidth="1"/>
  </cols>
  <sheetData>
    <row r="1" spans="1:35" ht="41.4" customHeight="1" x14ac:dyDescent="0.3">
      <c r="A1" s="18"/>
      <c r="B1" s="18"/>
      <c r="C1" s="18"/>
      <c r="D1" s="18"/>
      <c r="E1" s="18"/>
      <c r="F1" s="18"/>
      <c r="G1" s="18"/>
      <c r="H1" s="18"/>
      <c r="I1" s="18"/>
      <c r="J1" s="18"/>
      <c r="K1" s="18"/>
      <c r="L1" s="18"/>
      <c r="M1" s="18"/>
      <c r="N1" s="18"/>
      <c r="O1" s="18"/>
      <c r="P1" s="18"/>
      <c r="Q1" s="18"/>
      <c r="R1" s="18"/>
      <c r="S1" s="18"/>
      <c r="T1" s="18"/>
      <c r="U1" s="18"/>
      <c r="V1" s="18"/>
    </row>
    <row r="2" spans="1:35" ht="88.8" customHeight="1" x14ac:dyDescent="0.95">
      <c r="A2" s="18"/>
      <c r="B2" s="18"/>
      <c r="C2" s="18"/>
      <c r="D2" s="20" t="s">
        <v>160</v>
      </c>
      <c r="E2" s="18"/>
      <c r="F2" s="18"/>
      <c r="G2" s="18"/>
      <c r="H2" s="18"/>
      <c r="I2" s="18"/>
      <c r="J2" s="18"/>
      <c r="K2" s="18"/>
      <c r="L2" s="18"/>
      <c r="M2" s="18"/>
      <c r="N2" s="18"/>
      <c r="O2" s="18"/>
      <c r="P2" s="18"/>
      <c r="Q2" s="18"/>
      <c r="R2" s="18"/>
      <c r="S2" s="18"/>
      <c r="T2" s="18"/>
      <c r="U2" s="18"/>
      <c r="V2" s="18"/>
    </row>
    <row r="3" spans="1:35" ht="15.6" customHeight="1" x14ac:dyDescent="0.3">
      <c r="A3" s="18"/>
      <c r="B3" s="18"/>
      <c r="C3" s="18"/>
      <c r="D3" s="18"/>
      <c r="E3" s="18"/>
      <c r="F3" s="18"/>
      <c r="G3" s="18"/>
      <c r="H3" s="18"/>
      <c r="I3" s="18"/>
      <c r="J3" s="18"/>
      <c r="K3" s="18"/>
      <c r="L3" s="18"/>
      <c r="M3" s="18"/>
      <c r="N3" s="18"/>
      <c r="O3" s="18"/>
      <c r="P3" s="18"/>
      <c r="Q3" s="18"/>
      <c r="R3" s="18"/>
      <c r="S3" s="18"/>
      <c r="T3" s="18"/>
      <c r="U3" s="18"/>
      <c r="V3" s="18"/>
    </row>
    <row r="4" spans="1:35" ht="50.4" customHeight="1" x14ac:dyDescent="0.45">
      <c r="A4" s="19"/>
      <c r="B4" s="18"/>
      <c r="C4" s="18"/>
      <c r="D4" s="18"/>
      <c r="E4" s="18"/>
      <c r="F4" s="18"/>
      <c r="G4" s="18"/>
      <c r="H4" s="18"/>
      <c r="I4" s="18"/>
      <c r="J4" s="18"/>
      <c r="K4" s="18"/>
      <c r="L4" s="18"/>
      <c r="M4" s="18"/>
      <c r="N4" s="18"/>
      <c r="O4" s="18"/>
      <c r="P4" s="18"/>
      <c r="Q4" s="18"/>
      <c r="R4" s="18"/>
      <c r="S4" s="18"/>
      <c r="T4" s="18"/>
      <c r="U4" s="18"/>
      <c r="V4" s="18"/>
    </row>
    <row r="5" spans="1:35" ht="55.2" customHeight="1" x14ac:dyDescent="0.3">
      <c r="A5" s="18"/>
      <c r="B5" s="18"/>
      <c r="C5" s="18"/>
      <c r="D5" s="18"/>
      <c r="E5" s="28" t="s">
        <v>144</v>
      </c>
      <c r="F5" s="27" t="s">
        <v>146</v>
      </c>
      <c r="G5" s="27" t="s">
        <v>147</v>
      </c>
      <c r="H5" s="27" t="s">
        <v>148</v>
      </c>
      <c r="I5" s="27" t="s">
        <v>149</v>
      </c>
      <c r="J5" s="27" t="s">
        <v>153</v>
      </c>
      <c r="K5" s="29" t="s">
        <v>161</v>
      </c>
      <c r="L5" s="18"/>
      <c r="M5" s="18"/>
      <c r="N5" s="18"/>
      <c r="O5" s="18"/>
      <c r="P5" s="18"/>
      <c r="Q5" s="18"/>
      <c r="R5" s="18"/>
      <c r="S5" s="18"/>
      <c r="T5" s="18"/>
      <c r="U5" s="18"/>
      <c r="V5" s="18"/>
    </row>
    <row r="6" spans="1:35" ht="29.4" customHeight="1" x14ac:dyDescent="0.7">
      <c r="A6" s="18"/>
      <c r="B6" s="18"/>
      <c r="C6" s="18"/>
      <c r="D6" s="18"/>
      <c r="E6" s="26" t="s">
        <v>145</v>
      </c>
      <c r="F6" s="30">
        <f>SUM(Table2[Revenue])</f>
        <v>759250</v>
      </c>
      <c r="G6" s="31">
        <f>SUM(Table2[Quantity])</f>
        <v>82</v>
      </c>
      <c r="H6" s="31">
        <f>COUNTA(Table2[Order_ID])</f>
        <v>40</v>
      </c>
      <c r="I6" s="30">
        <f>SUM(Table2[Revenue])/COUNTA(Table2[Order_ID])</f>
        <v>18981.25</v>
      </c>
      <c r="J6" s="32">
        <f>CORREL(Table2[Discount],Table2[Revenue])</f>
        <v>0.32020318402339681</v>
      </c>
      <c r="K6" s="33" t="s">
        <v>151</v>
      </c>
      <c r="L6" s="18"/>
      <c r="M6" s="18"/>
      <c r="N6" s="18"/>
      <c r="O6" s="18"/>
      <c r="P6" s="18"/>
      <c r="Q6" s="18"/>
      <c r="R6" s="18"/>
      <c r="S6" s="18"/>
      <c r="T6" s="18"/>
      <c r="U6" s="18"/>
      <c r="V6" s="18"/>
      <c r="AH6" s="34"/>
      <c r="AI6" s="34"/>
    </row>
    <row r="7" spans="1:35" ht="15.6" customHeight="1" x14ac:dyDescent="0.3">
      <c r="A7" s="18"/>
      <c r="B7" s="18"/>
      <c r="C7" s="18"/>
      <c r="D7" s="18"/>
      <c r="E7" s="18"/>
      <c r="F7" s="18"/>
      <c r="G7" s="18"/>
      <c r="H7" s="18"/>
      <c r="I7" s="18"/>
      <c r="J7" s="18"/>
      <c r="K7" s="18"/>
      <c r="L7" s="18"/>
      <c r="M7" s="18"/>
      <c r="N7" s="18"/>
      <c r="O7" s="18"/>
      <c r="P7" s="18"/>
      <c r="Q7" s="18"/>
      <c r="R7" s="18"/>
      <c r="S7" s="18"/>
      <c r="T7" s="18"/>
      <c r="U7" s="18"/>
      <c r="V7" s="18"/>
    </row>
    <row r="8" spans="1:35" ht="36.6" customHeight="1" x14ac:dyDescent="0.3">
      <c r="A8" s="18"/>
      <c r="B8" s="18"/>
      <c r="C8" s="18"/>
      <c r="D8" s="18"/>
      <c r="E8" s="18"/>
      <c r="F8" s="18"/>
      <c r="G8" s="18"/>
      <c r="H8" s="18"/>
      <c r="I8" s="18"/>
      <c r="J8" s="18"/>
      <c r="K8" s="18"/>
      <c r="L8" s="18"/>
      <c r="M8" s="18"/>
      <c r="N8" s="18"/>
      <c r="O8" s="18"/>
      <c r="P8" s="18"/>
      <c r="Q8" s="18"/>
      <c r="R8" s="18"/>
      <c r="S8" s="18"/>
      <c r="T8" s="18"/>
      <c r="V8" s="18"/>
    </row>
    <row r="9" spans="1:35" x14ac:dyDescent="0.3">
      <c r="A9" s="18"/>
      <c r="B9" s="18"/>
      <c r="C9" s="18"/>
      <c r="D9" s="18"/>
      <c r="E9" s="18"/>
      <c r="F9" s="18"/>
      <c r="G9" s="18"/>
      <c r="H9" s="18"/>
      <c r="I9" s="18"/>
      <c r="J9" s="18"/>
      <c r="K9" s="18"/>
      <c r="L9" s="18"/>
      <c r="M9" s="18"/>
      <c r="N9" s="18"/>
      <c r="O9" s="18"/>
      <c r="P9" s="18"/>
      <c r="Q9" s="18"/>
      <c r="R9" s="18"/>
      <c r="S9" s="18"/>
      <c r="T9" s="18"/>
      <c r="V9" s="18"/>
    </row>
    <row r="10" spans="1:35" ht="28.2" customHeight="1" x14ac:dyDescent="0.3">
      <c r="A10" s="18"/>
      <c r="B10" s="18"/>
      <c r="C10" s="18"/>
      <c r="D10" s="18"/>
      <c r="E10" s="18"/>
      <c r="F10" s="18"/>
      <c r="G10" s="18"/>
      <c r="H10" s="18"/>
      <c r="I10" s="18"/>
      <c r="J10" s="18"/>
      <c r="K10" s="18"/>
      <c r="L10" s="18"/>
      <c r="M10" s="18"/>
      <c r="N10" s="18"/>
      <c r="O10" s="18"/>
      <c r="P10" s="18"/>
      <c r="Q10" s="18"/>
      <c r="R10" s="18"/>
      <c r="S10" s="18"/>
      <c r="T10" s="18"/>
      <c r="V10" s="18"/>
    </row>
    <row r="11" spans="1:35" ht="28.8" customHeight="1" x14ac:dyDescent="0.3">
      <c r="A11" s="18"/>
      <c r="B11" s="18"/>
      <c r="C11" s="18"/>
      <c r="D11" s="18"/>
      <c r="E11" s="18"/>
      <c r="F11" s="18"/>
      <c r="G11" s="18"/>
      <c r="H11" s="18"/>
      <c r="I11" s="18"/>
      <c r="J11" s="18"/>
      <c r="K11" s="18"/>
      <c r="L11" s="18"/>
      <c r="M11" s="18"/>
      <c r="N11" s="18"/>
      <c r="O11" s="18"/>
      <c r="P11" s="18"/>
      <c r="Q11" s="18"/>
      <c r="R11" s="18"/>
      <c r="S11" s="18"/>
      <c r="T11" s="18"/>
      <c r="V11" s="18"/>
    </row>
    <row r="12" spans="1:35" x14ac:dyDescent="0.3">
      <c r="A12" s="18"/>
      <c r="B12" s="18"/>
      <c r="C12" s="18"/>
      <c r="D12" s="18"/>
      <c r="E12" s="18"/>
      <c r="F12" s="18"/>
      <c r="G12" s="18"/>
      <c r="H12" s="18"/>
      <c r="I12" s="18"/>
      <c r="J12" s="18"/>
      <c r="K12" s="18"/>
      <c r="L12" s="18"/>
      <c r="M12" s="18"/>
      <c r="N12" s="18"/>
      <c r="O12" s="18"/>
      <c r="P12" s="18"/>
      <c r="Q12" s="18"/>
      <c r="R12" s="18"/>
      <c r="S12" s="18"/>
      <c r="T12" s="18"/>
      <c r="V12" s="18"/>
    </row>
    <row r="13" spans="1:35" x14ac:dyDescent="0.3">
      <c r="A13" s="18"/>
      <c r="B13" s="18"/>
      <c r="C13" s="18"/>
      <c r="D13" s="18"/>
      <c r="E13" s="18"/>
      <c r="F13" s="18"/>
      <c r="G13" s="18"/>
      <c r="H13" s="18"/>
      <c r="I13" s="18"/>
      <c r="J13" s="18"/>
      <c r="K13" s="18"/>
      <c r="L13" s="18"/>
      <c r="M13" s="18"/>
      <c r="N13" s="18"/>
      <c r="O13" s="18"/>
      <c r="P13" s="18"/>
      <c r="Q13" s="18"/>
      <c r="R13" s="18"/>
      <c r="S13" s="18"/>
      <c r="T13" s="18"/>
      <c r="V13" s="18"/>
    </row>
    <row r="14" spans="1:35" ht="25.8" customHeight="1" x14ac:dyDescent="0.3">
      <c r="A14" s="18"/>
      <c r="B14" s="18"/>
      <c r="C14" s="18"/>
      <c r="D14" s="18"/>
      <c r="E14" s="18"/>
      <c r="F14" s="18"/>
      <c r="G14" s="18"/>
      <c r="H14" s="18"/>
      <c r="I14" s="18"/>
      <c r="J14" s="18"/>
      <c r="K14" s="18"/>
      <c r="L14" s="18"/>
      <c r="M14" s="18"/>
      <c r="N14" s="18"/>
      <c r="O14" s="18"/>
      <c r="P14" s="18"/>
      <c r="Q14" s="18"/>
      <c r="R14" s="18"/>
      <c r="S14" s="18"/>
      <c r="T14" s="18"/>
      <c r="V14" s="18"/>
    </row>
    <row r="15" spans="1:35" ht="25.8" customHeight="1" x14ac:dyDescent="0.3">
      <c r="A15" s="18"/>
      <c r="B15" s="18"/>
      <c r="C15" s="18"/>
      <c r="D15" s="18"/>
      <c r="E15" s="18"/>
      <c r="F15" s="18"/>
      <c r="G15" s="18"/>
      <c r="H15" s="18"/>
      <c r="I15" s="18"/>
      <c r="J15" s="18"/>
      <c r="K15" s="18"/>
      <c r="L15" s="18"/>
      <c r="M15" s="18"/>
      <c r="N15" s="18"/>
      <c r="O15" s="18"/>
      <c r="P15" s="18"/>
      <c r="Q15" s="18"/>
      <c r="R15" s="18"/>
      <c r="S15" s="18"/>
      <c r="T15" s="18"/>
      <c r="U15" s="18"/>
      <c r="V15" s="18"/>
    </row>
    <row r="16" spans="1:35" x14ac:dyDescent="0.3">
      <c r="A16" s="18"/>
      <c r="B16" s="18"/>
      <c r="C16" s="18"/>
      <c r="D16" s="18"/>
      <c r="E16" s="18"/>
      <c r="F16" s="18"/>
      <c r="G16" s="18"/>
      <c r="H16" s="18"/>
      <c r="I16" s="18"/>
      <c r="J16" s="18"/>
      <c r="K16" s="18"/>
      <c r="L16" s="18"/>
      <c r="M16" s="18"/>
      <c r="N16" s="18"/>
      <c r="O16" s="18"/>
      <c r="P16" s="18"/>
      <c r="Q16" s="18"/>
      <c r="R16" s="18"/>
      <c r="S16" s="18"/>
      <c r="T16" s="18"/>
      <c r="U16" s="18"/>
      <c r="V16" s="18"/>
    </row>
    <row r="17" spans="1:22" ht="22.8" customHeight="1" x14ac:dyDescent="0.3">
      <c r="A17" s="18"/>
      <c r="B17" s="18"/>
      <c r="C17" s="18"/>
      <c r="D17" s="18"/>
      <c r="E17" s="18"/>
      <c r="F17" s="18"/>
      <c r="G17" s="18"/>
      <c r="H17" s="18"/>
      <c r="I17" s="18"/>
      <c r="J17" s="18"/>
      <c r="K17" s="18"/>
      <c r="L17" s="18"/>
      <c r="M17" s="18"/>
      <c r="N17" s="18"/>
      <c r="O17" s="18"/>
      <c r="P17" s="18"/>
      <c r="Q17" s="18"/>
      <c r="R17" s="18"/>
      <c r="S17" s="18"/>
      <c r="T17" s="18"/>
      <c r="U17" s="18"/>
      <c r="V17" s="18"/>
    </row>
    <row r="18" spans="1:22" x14ac:dyDescent="0.3">
      <c r="A18" s="18"/>
      <c r="B18" s="18"/>
      <c r="C18" s="18"/>
      <c r="D18" s="18"/>
      <c r="E18" s="18"/>
      <c r="F18" s="18"/>
      <c r="G18" s="18"/>
      <c r="H18" s="18"/>
      <c r="I18" s="18"/>
      <c r="J18" s="18"/>
      <c r="K18" s="18"/>
      <c r="L18" s="18"/>
      <c r="M18" s="18"/>
      <c r="N18" s="18"/>
      <c r="O18" s="18"/>
      <c r="P18" s="18"/>
      <c r="Q18" s="18"/>
      <c r="R18" s="18"/>
      <c r="S18" s="18"/>
      <c r="T18" s="18"/>
      <c r="U18" s="18"/>
      <c r="V18" s="18"/>
    </row>
    <row r="19" spans="1:22" x14ac:dyDescent="0.3">
      <c r="A19" s="18"/>
      <c r="B19" s="18"/>
      <c r="C19" s="18"/>
      <c r="D19" s="18"/>
      <c r="E19" s="18"/>
      <c r="F19" s="18"/>
      <c r="G19" s="18"/>
      <c r="H19" s="18"/>
      <c r="I19" s="18"/>
      <c r="J19" s="18"/>
      <c r="K19" s="18"/>
      <c r="L19" s="18"/>
      <c r="M19" s="18"/>
      <c r="N19" s="18"/>
      <c r="O19" s="18"/>
      <c r="P19" s="18"/>
      <c r="Q19" s="18"/>
      <c r="R19" s="18"/>
      <c r="S19" s="18"/>
      <c r="T19" s="18"/>
      <c r="U19" s="18"/>
      <c r="V19" s="18"/>
    </row>
    <row r="20" spans="1:22" x14ac:dyDescent="0.3">
      <c r="A20" s="18"/>
      <c r="B20" s="18"/>
      <c r="C20" s="18"/>
      <c r="D20" s="18"/>
      <c r="E20" s="18"/>
      <c r="F20" s="18"/>
      <c r="G20" s="18"/>
      <c r="H20" s="18"/>
      <c r="I20" s="18"/>
      <c r="J20" s="18"/>
      <c r="K20" s="18"/>
      <c r="L20" s="18"/>
      <c r="M20" s="18"/>
      <c r="N20" s="18"/>
      <c r="O20" s="18"/>
      <c r="P20" s="18"/>
      <c r="Q20" s="18"/>
      <c r="R20" s="18"/>
      <c r="S20" s="18"/>
      <c r="T20" s="18"/>
      <c r="U20" s="18"/>
      <c r="V20" s="18"/>
    </row>
    <row r="21" spans="1:22" x14ac:dyDescent="0.3">
      <c r="A21" s="18"/>
      <c r="B21" s="18"/>
      <c r="C21" s="18"/>
      <c r="D21" s="18"/>
      <c r="E21" s="18"/>
      <c r="F21" s="18"/>
      <c r="G21" s="18"/>
      <c r="H21" s="18"/>
      <c r="I21" s="18"/>
      <c r="J21" s="18"/>
      <c r="K21" s="18"/>
      <c r="L21" s="18"/>
      <c r="M21" s="18"/>
      <c r="N21" s="18"/>
      <c r="O21" s="18"/>
      <c r="P21" s="18"/>
      <c r="Q21" s="18"/>
      <c r="R21" s="18"/>
      <c r="S21" s="18"/>
      <c r="T21" s="18"/>
      <c r="U21" s="18"/>
      <c r="V21" s="18"/>
    </row>
    <row r="22" spans="1:22" x14ac:dyDescent="0.3">
      <c r="A22" s="18"/>
      <c r="B22" s="18"/>
      <c r="C22" s="18"/>
      <c r="D22" s="18"/>
      <c r="E22" s="18"/>
      <c r="F22" s="18"/>
      <c r="G22" s="18"/>
      <c r="H22" s="18"/>
      <c r="I22" s="18"/>
      <c r="J22" s="18"/>
      <c r="K22" s="18"/>
      <c r="L22" s="18"/>
      <c r="M22" s="18"/>
      <c r="N22" s="18"/>
      <c r="O22" s="18"/>
      <c r="P22" s="18"/>
      <c r="Q22" s="18"/>
      <c r="R22" s="18"/>
      <c r="S22" s="18"/>
      <c r="T22" s="18"/>
      <c r="U22" s="18"/>
      <c r="V22" s="18"/>
    </row>
    <row r="23" spans="1:22" x14ac:dyDescent="0.3">
      <c r="A23" s="18"/>
      <c r="B23" s="18"/>
      <c r="C23" s="18"/>
      <c r="D23" s="18"/>
      <c r="E23" s="18"/>
      <c r="F23" s="18"/>
      <c r="G23" s="18"/>
      <c r="H23" s="18"/>
      <c r="I23" s="18"/>
      <c r="J23" s="18"/>
      <c r="K23" s="18"/>
      <c r="L23" s="18"/>
      <c r="M23" s="18"/>
      <c r="N23" s="18"/>
      <c r="O23" s="18"/>
      <c r="P23" s="18"/>
      <c r="Q23" s="18"/>
      <c r="R23" s="18"/>
      <c r="S23" s="18"/>
      <c r="T23" s="18"/>
      <c r="U23" s="18"/>
      <c r="V23" s="18"/>
    </row>
    <row r="24" spans="1:22" x14ac:dyDescent="0.3">
      <c r="A24" s="18"/>
      <c r="B24" s="18"/>
      <c r="C24" s="18"/>
      <c r="D24" s="18"/>
      <c r="E24" s="18"/>
      <c r="F24" s="18"/>
      <c r="G24" s="18"/>
      <c r="H24" s="18"/>
      <c r="I24" s="18"/>
      <c r="J24" s="18"/>
      <c r="K24" s="18"/>
      <c r="L24" s="18"/>
      <c r="M24" s="18"/>
      <c r="N24" s="18"/>
      <c r="O24" s="18"/>
      <c r="P24" s="18"/>
      <c r="Q24" s="18"/>
      <c r="R24" s="18"/>
      <c r="S24" s="18"/>
      <c r="T24" s="18"/>
      <c r="U24" s="18"/>
      <c r="V24" s="18"/>
    </row>
    <row r="25" spans="1:22" x14ac:dyDescent="0.3">
      <c r="A25" s="18"/>
      <c r="B25" s="18"/>
      <c r="C25" s="18"/>
      <c r="D25" s="18"/>
      <c r="E25" s="18"/>
      <c r="F25" s="18"/>
      <c r="G25" s="18"/>
      <c r="H25" s="18"/>
      <c r="I25" s="18"/>
      <c r="J25" s="18"/>
      <c r="K25" s="18"/>
      <c r="L25" s="18"/>
      <c r="M25" s="18"/>
      <c r="N25" s="18"/>
      <c r="O25" s="18"/>
      <c r="P25" s="18"/>
      <c r="Q25" s="18"/>
      <c r="R25" s="18"/>
      <c r="S25" s="18"/>
      <c r="T25" s="18"/>
      <c r="U25" s="18"/>
      <c r="V25" s="18"/>
    </row>
    <row r="26" spans="1:22" x14ac:dyDescent="0.3">
      <c r="A26" s="18"/>
      <c r="B26" s="18"/>
      <c r="C26" s="18"/>
      <c r="D26" s="18"/>
      <c r="E26" s="18"/>
      <c r="F26" s="18"/>
      <c r="G26" s="18"/>
      <c r="H26" s="18"/>
      <c r="I26" s="18"/>
      <c r="J26" s="18"/>
      <c r="K26" s="18"/>
      <c r="L26" s="18"/>
      <c r="M26" s="18"/>
      <c r="N26" s="18"/>
      <c r="O26" s="18"/>
      <c r="P26" s="18"/>
      <c r="Q26" s="18"/>
      <c r="R26" s="18"/>
      <c r="S26" s="18"/>
      <c r="T26" s="18"/>
      <c r="U26" s="18"/>
      <c r="V26" s="18"/>
    </row>
    <row r="27" spans="1:22" x14ac:dyDescent="0.3">
      <c r="A27" s="18"/>
      <c r="B27" s="18"/>
      <c r="C27" s="18"/>
      <c r="D27" s="18"/>
      <c r="E27" s="18"/>
      <c r="F27" s="18"/>
      <c r="G27" s="18"/>
      <c r="H27" s="18"/>
      <c r="I27" s="18"/>
      <c r="J27" s="18"/>
      <c r="K27" s="18"/>
      <c r="L27" s="18"/>
      <c r="M27" s="18"/>
      <c r="N27" s="18"/>
      <c r="O27" s="18"/>
      <c r="P27" s="18"/>
      <c r="Q27" s="18"/>
      <c r="R27" s="18"/>
      <c r="S27" s="18"/>
      <c r="T27" s="18"/>
      <c r="U27" s="18"/>
      <c r="V27" s="18"/>
    </row>
    <row r="28" spans="1:22" x14ac:dyDescent="0.3">
      <c r="A28" s="18"/>
      <c r="B28" s="18"/>
      <c r="C28" s="18"/>
      <c r="D28" s="18"/>
      <c r="E28" s="18"/>
      <c r="F28" s="18"/>
      <c r="G28" s="18"/>
      <c r="H28" s="18"/>
      <c r="I28" s="18"/>
      <c r="J28" s="18"/>
      <c r="K28" s="18"/>
      <c r="L28" s="18"/>
      <c r="M28" s="18"/>
      <c r="N28" s="18"/>
      <c r="O28" s="18"/>
      <c r="P28" s="18"/>
      <c r="Q28" s="18"/>
      <c r="R28" s="18"/>
      <c r="S28" s="18"/>
      <c r="T28" s="18"/>
      <c r="U28" s="18"/>
      <c r="V28" s="18"/>
    </row>
    <row r="29" spans="1:22" x14ac:dyDescent="0.3">
      <c r="A29" s="18"/>
      <c r="B29" s="18"/>
      <c r="C29" s="18"/>
      <c r="D29" s="18"/>
      <c r="E29" s="18"/>
      <c r="F29" s="18"/>
      <c r="G29" s="18"/>
      <c r="H29" s="18"/>
      <c r="I29" s="18"/>
      <c r="J29" s="18"/>
      <c r="K29" s="18"/>
      <c r="L29" s="18"/>
      <c r="M29" s="18"/>
      <c r="N29" s="18"/>
      <c r="O29" s="18"/>
      <c r="P29" s="18"/>
      <c r="Q29" s="18"/>
      <c r="R29" s="18"/>
      <c r="S29" s="18"/>
      <c r="T29" s="18"/>
      <c r="U29" s="18"/>
      <c r="V29" s="18"/>
    </row>
    <row r="30" spans="1:22" x14ac:dyDescent="0.3">
      <c r="A30" s="18"/>
      <c r="B30" s="18"/>
      <c r="C30" s="18"/>
      <c r="D30" s="18"/>
      <c r="E30" s="18"/>
      <c r="F30" s="18"/>
      <c r="G30" s="18"/>
      <c r="H30" s="18"/>
      <c r="I30" s="18"/>
      <c r="J30" s="18"/>
      <c r="K30" s="18"/>
      <c r="L30" s="18"/>
      <c r="M30" s="18"/>
      <c r="N30" s="18"/>
      <c r="O30" s="18"/>
      <c r="P30" s="18"/>
      <c r="Q30" s="18"/>
      <c r="R30" s="18"/>
      <c r="S30" s="18"/>
      <c r="T30" s="18"/>
      <c r="U30" s="18"/>
      <c r="V30" s="18"/>
    </row>
    <row r="31" spans="1:22" x14ac:dyDescent="0.3">
      <c r="A31" s="18"/>
      <c r="B31" s="18"/>
      <c r="C31" s="18"/>
      <c r="D31" s="18"/>
      <c r="E31" s="18"/>
      <c r="F31" s="18"/>
      <c r="G31" s="18"/>
      <c r="H31" s="18"/>
      <c r="I31" s="18"/>
      <c r="J31" s="18"/>
      <c r="K31" s="18"/>
      <c r="L31" s="18"/>
      <c r="M31" s="18"/>
      <c r="N31" s="18"/>
      <c r="O31" s="18"/>
      <c r="P31" s="18"/>
      <c r="Q31" s="18"/>
      <c r="R31" s="18"/>
      <c r="S31" s="18"/>
      <c r="T31" s="18"/>
      <c r="U31" s="18"/>
      <c r="V31" s="18"/>
    </row>
    <row r="32" spans="1:22" x14ac:dyDescent="0.3">
      <c r="A32" s="18"/>
      <c r="B32" s="18"/>
      <c r="C32" s="18"/>
      <c r="D32" s="18"/>
      <c r="E32" s="18"/>
      <c r="F32" s="18"/>
      <c r="G32" s="18"/>
      <c r="H32" s="18"/>
      <c r="I32" s="18"/>
      <c r="J32" s="18"/>
      <c r="K32" s="18"/>
      <c r="L32" s="18"/>
      <c r="M32" s="18"/>
      <c r="N32" s="18"/>
      <c r="O32" s="18"/>
      <c r="P32" s="18"/>
      <c r="Q32" s="18"/>
      <c r="R32" s="18"/>
      <c r="S32" s="18"/>
      <c r="T32" s="18"/>
      <c r="U32" s="18"/>
      <c r="V32" s="18"/>
    </row>
    <row r="33" spans="1:22" x14ac:dyDescent="0.3">
      <c r="A33" s="18"/>
      <c r="B33" s="18"/>
      <c r="C33" s="18"/>
      <c r="D33" s="18"/>
      <c r="E33" s="18"/>
      <c r="F33" s="18"/>
      <c r="G33" s="18"/>
      <c r="H33" s="18"/>
      <c r="I33" s="18"/>
      <c r="J33" s="18"/>
      <c r="K33" s="18"/>
      <c r="L33" s="18"/>
      <c r="M33" s="18"/>
      <c r="N33" s="18"/>
      <c r="O33" s="18"/>
      <c r="P33" s="18"/>
      <c r="Q33" s="18"/>
      <c r="R33" s="18"/>
      <c r="S33" s="18"/>
      <c r="T33" s="18"/>
      <c r="U33" s="18"/>
      <c r="V33" s="18"/>
    </row>
    <row r="34" spans="1:22" x14ac:dyDescent="0.3">
      <c r="A34" s="18"/>
      <c r="B34" s="18"/>
      <c r="C34" s="18"/>
      <c r="D34" s="18"/>
      <c r="E34" s="18"/>
      <c r="F34" s="18"/>
      <c r="G34" s="18"/>
      <c r="H34" s="18"/>
      <c r="I34" s="18"/>
      <c r="J34" s="18"/>
      <c r="K34" s="18"/>
      <c r="L34" s="18"/>
      <c r="M34" s="18"/>
      <c r="N34" s="18"/>
      <c r="O34" s="18"/>
      <c r="P34" s="18"/>
      <c r="Q34" s="18"/>
      <c r="R34" s="18"/>
      <c r="S34" s="18"/>
      <c r="T34" s="18"/>
      <c r="U34" s="18"/>
      <c r="V34" s="18"/>
    </row>
    <row r="35" spans="1:22" x14ac:dyDescent="0.3">
      <c r="A35" s="18"/>
      <c r="B35" s="18"/>
      <c r="C35" s="18"/>
      <c r="D35" s="18"/>
      <c r="E35" s="18"/>
      <c r="F35" s="18"/>
      <c r="G35" s="18"/>
      <c r="H35" s="18"/>
      <c r="I35" s="18"/>
      <c r="J35" s="18"/>
      <c r="K35" s="18"/>
      <c r="L35" s="18"/>
      <c r="M35" s="18"/>
      <c r="N35" s="18"/>
      <c r="O35" s="18"/>
      <c r="P35" s="18"/>
      <c r="Q35" s="18"/>
      <c r="R35" s="18"/>
      <c r="S35" s="18"/>
      <c r="T35" s="18"/>
      <c r="U35" s="18"/>
      <c r="V35" s="18"/>
    </row>
    <row r="36" spans="1:22" x14ac:dyDescent="0.3">
      <c r="A36" s="18"/>
      <c r="B36" s="18"/>
      <c r="C36" s="18"/>
      <c r="D36" s="18"/>
      <c r="E36" s="18"/>
      <c r="F36" s="18"/>
      <c r="G36" s="18"/>
      <c r="H36" s="18"/>
      <c r="I36" s="18"/>
      <c r="J36" s="18"/>
      <c r="K36" s="18"/>
      <c r="L36" s="18"/>
      <c r="M36" s="18"/>
      <c r="N36" s="18"/>
      <c r="O36" s="18"/>
      <c r="P36" s="18"/>
      <c r="Q36" s="18"/>
      <c r="R36" s="18"/>
      <c r="S36" s="18"/>
      <c r="T36" s="18"/>
      <c r="U36" s="18"/>
      <c r="V36" s="18"/>
    </row>
    <row r="37" spans="1:22" x14ac:dyDescent="0.3">
      <c r="A37" s="18"/>
      <c r="B37" s="18"/>
      <c r="C37" s="18"/>
      <c r="D37" s="18"/>
      <c r="E37" s="18"/>
      <c r="F37" s="18"/>
      <c r="G37" s="18"/>
      <c r="H37" s="18"/>
      <c r="I37" s="18"/>
      <c r="J37" s="18"/>
      <c r="K37" s="18"/>
      <c r="L37" s="18"/>
      <c r="M37" s="18"/>
      <c r="N37" s="18"/>
      <c r="O37" s="18"/>
      <c r="P37" s="18"/>
      <c r="Q37" s="18"/>
      <c r="R37" s="18"/>
      <c r="S37" s="18"/>
      <c r="T37" s="18"/>
      <c r="U37" s="18"/>
      <c r="V37" s="18"/>
    </row>
    <row r="38" spans="1:22" x14ac:dyDescent="0.3">
      <c r="A38" s="18"/>
      <c r="B38" s="18"/>
      <c r="C38" s="18"/>
      <c r="D38" s="18"/>
      <c r="E38" s="18"/>
      <c r="F38" s="18"/>
      <c r="G38" s="18"/>
      <c r="H38" s="18"/>
      <c r="I38" s="18"/>
      <c r="J38" s="18"/>
      <c r="K38" s="18"/>
      <c r="L38" s="18"/>
      <c r="M38" s="18"/>
      <c r="N38" s="18"/>
      <c r="O38" s="18"/>
      <c r="P38" s="18"/>
      <c r="Q38" s="18"/>
      <c r="R38" s="18"/>
      <c r="S38" s="18"/>
      <c r="T38" s="18"/>
      <c r="U38" s="18"/>
      <c r="V38" s="18"/>
    </row>
    <row r="39" spans="1:22" x14ac:dyDescent="0.3">
      <c r="A39" s="18"/>
      <c r="B39" s="18"/>
      <c r="C39" s="18"/>
      <c r="D39" s="18"/>
      <c r="E39" s="18"/>
      <c r="F39" s="18"/>
      <c r="G39" s="18"/>
      <c r="H39" s="18"/>
      <c r="I39" s="18"/>
      <c r="J39" s="18"/>
      <c r="K39" s="18"/>
      <c r="L39" s="18"/>
      <c r="M39" s="18"/>
      <c r="N39" s="18"/>
      <c r="O39" s="18"/>
      <c r="P39" s="18"/>
      <c r="Q39" s="18"/>
      <c r="R39" s="18"/>
      <c r="S39" s="18"/>
      <c r="T39" s="18"/>
      <c r="U39" s="18"/>
      <c r="V39" s="18"/>
    </row>
    <row r="40" spans="1:22" x14ac:dyDescent="0.3">
      <c r="A40" s="18"/>
      <c r="B40" s="18"/>
      <c r="C40" s="18"/>
      <c r="D40" s="18"/>
      <c r="E40" s="18"/>
      <c r="F40" s="18"/>
      <c r="G40" s="18"/>
      <c r="H40" s="18"/>
      <c r="I40" s="18"/>
      <c r="J40" s="18"/>
      <c r="K40" s="18"/>
      <c r="L40" s="18"/>
      <c r="M40" s="18"/>
      <c r="N40" s="18"/>
      <c r="O40" s="18"/>
      <c r="P40" s="18"/>
      <c r="Q40" s="18"/>
      <c r="R40" s="18"/>
      <c r="S40" s="18"/>
      <c r="T40" s="18"/>
      <c r="U40" s="18"/>
      <c r="V40" s="18"/>
    </row>
    <row r="41" spans="1:22" x14ac:dyDescent="0.3">
      <c r="A41" s="18"/>
      <c r="B41" s="18"/>
      <c r="C41" s="18"/>
      <c r="D41" s="18"/>
      <c r="E41" s="18"/>
      <c r="F41" s="18"/>
      <c r="G41" s="18"/>
      <c r="H41" s="18"/>
      <c r="I41" s="18"/>
      <c r="J41" s="18"/>
      <c r="K41" s="18"/>
      <c r="L41" s="18"/>
      <c r="M41" s="18"/>
      <c r="N41" s="18"/>
      <c r="O41" s="18"/>
      <c r="P41" s="18"/>
      <c r="Q41" s="18"/>
      <c r="R41" s="18"/>
      <c r="S41" s="18"/>
      <c r="T41" s="18"/>
      <c r="U41" s="18"/>
      <c r="V41" s="18"/>
    </row>
    <row r="42" spans="1:22" x14ac:dyDescent="0.3">
      <c r="A42" s="18"/>
      <c r="B42" s="18"/>
      <c r="C42" s="18"/>
      <c r="D42" s="18"/>
      <c r="E42" s="18"/>
      <c r="F42" s="18"/>
      <c r="G42" s="18"/>
      <c r="H42" s="18"/>
      <c r="I42" s="18"/>
      <c r="J42" s="18"/>
      <c r="K42" s="18"/>
      <c r="L42" s="18"/>
      <c r="M42" s="18"/>
      <c r="N42" s="18"/>
      <c r="O42" s="18"/>
      <c r="P42" s="18"/>
      <c r="Q42" s="18"/>
      <c r="R42" s="18"/>
      <c r="S42" s="18"/>
      <c r="T42" s="18"/>
      <c r="U42" s="18"/>
      <c r="V42" s="18"/>
    </row>
    <row r="43" spans="1:22" x14ac:dyDescent="0.3">
      <c r="A43" s="18"/>
      <c r="B43" s="18"/>
      <c r="C43" s="18"/>
      <c r="D43" s="18"/>
      <c r="E43" s="18"/>
      <c r="F43" s="18"/>
      <c r="G43" s="18"/>
      <c r="H43" s="18"/>
      <c r="I43" s="18"/>
      <c r="J43" s="18"/>
      <c r="K43" s="18"/>
      <c r="L43" s="18"/>
      <c r="M43" s="18"/>
      <c r="N43" s="18"/>
      <c r="O43" s="18"/>
      <c r="P43" s="18"/>
      <c r="Q43" s="18"/>
      <c r="R43" s="18"/>
      <c r="S43" s="18"/>
      <c r="T43" s="18"/>
      <c r="U43" s="18"/>
      <c r="V43" s="18"/>
    </row>
    <row r="44" spans="1:22" x14ac:dyDescent="0.3">
      <c r="A44" s="18"/>
      <c r="B44" s="18"/>
      <c r="C44" s="18"/>
      <c r="D44" s="18"/>
      <c r="E44" s="18"/>
      <c r="F44" s="18"/>
      <c r="G44" s="18"/>
      <c r="H44" s="18"/>
      <c r="I44" s="18"/>
      <c r="J44" s="18"/>
      <c r="K44" s="18"/>
      <c r="L44" s="18"/>
      <c r="M44" s="18"/>
      <c r="N44" s="18"/>
      <c r="O44" s="18"/>
      <c r="P44" s="18"/>
      <c r="Q44" s="18"/>
      <c r="R44" s="18"/>
      <c r="S44" s="18"/>
      <c r="T44" s="18"/>
      <c r="U44" s="18"/>
      <c r="V44" s="18"/>
    </row>
    <row r="45" spans="1:22" x14ac:dyDescent="0.3">
      <c r="A45" s="18"/>
      <c r="B45" s="18"/>
      <c r="C45" s="18"/>
      <c r="D45" s="18"/>
      <c r="E45" s="18"/>
      <c r="F45" s="18"/>
      <c r="G45" s="18"/>
      <c r="H45" s="18"/>
      <c r="I45" s="18"/>
      <c r="J45" s="18"/>
      <c r="K45" s="18"/>
      <c r="L45" s="18"/>
      <c r="M45" s="18"/>
      <c r="N45" s="18"/>
      <c r="O45" s="18"/>
      <c r="P45" s="18"/>
      <c r="Q45" s="18"/>
      <c r="R45" s="18"/>
      <c r="S45" s="18"/>
      <c r="T45" s="18"/>
      <c r="U45" s="18"/>
      <c r="V45" s="18"/>
    </row>
    <row r="46" spans="1:22" x14ac:dyDescent="0.3">
      <c r="A46" s="18"/>
      <c r="B46" s="18"/>
      <c r="C46" s="18"/>
      <c r="D46" s="18"/>
      <c r="E46" s="18"/>
      <c r="F46" s="18"/>
      <c r="G46" s="18"/>
      <c r="H46" s="18"/>
      <c r="I46" s="18"/>
      <c r="J46" s="18"/>
      <c r="K46" s="18"/>
      <c r="L46" s="18"/>
      <c r="M46" s="18"/>
      <c r="N46" s="18"/>
      <c r="O46" s="18"/>
      <c r="P46" s="18"/>
      <c r="Q46" s="18"/>
      <c r="R46" s="18"/>
      <c r="S46" s="18"/>
      <c r="T46" s="18"/>
      <c r="U46" s="18"/>
      <c r="V46" s="18"/>
    </row>
    <row r="47" spans="1:22" x14ac:dyDescent="0.3">
      <c r="A47" s="18"/>
      <c r="B47" s="18"/>
      <c r="C47" s="18"/>
      <c r="D47" s="18"/>
      <c r="E47" s="18"/>
      <c r="F47" s="18"/>
      <c r="G47" s="18"/>
      <c r="H47" s="18"/>
      <c r="I47" s="18"/>
      <c r="J47" s="18"/>
      <c r="K47" s="18"/>
      <c r="L47" s="18"/>
      <c r="M47" s="18"/>
      <c r="N47" s="18"/>
      <c r="O47" s="18"/>
      <c r="P47" s="18"/>
      <c r="Q47" s="18"/>
      <c r="R47" s="18"/>
      <c r="S47" s="18"/>
      <c r="T47" s="18"/>
      <c r="U47" s="18"/>
      <c r="V47" s="18"/>
    </row>
    <row r="48" spans="1:22" x14ac:dyDescent="0.3">
      <c r="A48" s="18"/>
      <c r="B48" s="18"/>
      <c r="C48" s="18"/>
      <c r="D48" s="18"/>
      <c r="E48" s="18"/>
      <c r="F48" s="18"/>
      <c r="G48" s="18"/>
      <c r="H48" s="18"/>
      <c r="I48" s="18"/>
      <c r="J48" s="18"/>
      <c r="K48" s="18"/>
      <c r="L48" s="18"/>
      <c r="M48" s="18"/>
      <c r="N48" s="18"/>
      <c r="O48" s="18"/>
      <c r="P48" s="18"/>
      <c r="Q48" s="18"/>
      <c r="R48" s="18"/>
      <c r="S48" s="18"/>
      <c r="T48" s="18"/>
      <c r="U48" s="18"/>
      <c r="V48" s="18"/>
    </row>
    <row r="49" spans="1:22" x14ac:dyDescent="0.3">
      <c r="A49" s="18"/>
      <c r="B49" s="18"/>
      <c r="C49" s="18"/>
      <c r="D49" s="18"/>
      <c r="E49" s="18"/>
      <c r="F49" s="18"/>
      <c r="G49" s="18"/>
      <c r="H49" s="18"/>
      <c r="I49" s="18"/>
      <c r="J49" s="18"/>
      <c r="K49" s="18"/>
      <c r="L49" s="18"/>
      <c r="M49" s="18"/>
      <c r="N49" s="18"/>
      <c r="O49" s="18"/>
      <c r="P49" s="18"/>
      <c r="Q49" s="18"/>
      <c r="R49" s="18"/>
      <c r="S49" s="18"/>
      <c r="T49" s="18"/>
      <c r="U49" s="18"/>
      <c r="V49" s="18"/>
    </row>
    <row r="50" spans="1:22" x14ac:dyDescent="0.3">
      <c r="A50" s="18"/>
      <c r="B50" s="18"/>
      <c r="C50" s="18"/>
      <c r="D50" s="18"/>
      <c r="E50" s="18"/>
      <c r="F50" s="18"/>
      <c r="G50" s="18"/>
      <c r="H50" s="18"/>
      <c r="I50" s="18"/>
      <c r="J50" s="18"/>
      <c r="K50" s="18"/>
      <c r="L50" s="18"/>
      <c r="M50" s="18"/>
      <c r="N50" s="18"/>
      <c r="O50" s="18"/>
      <c r="P50" s="18"/>
      <c r="Q50" s="18"/>
      <c r="R50" s="18"/>
      <c r="S50" s="18"/>
      <c r="T50" s="18"/>
      <c r="U50" s="18"/>
      <c r="V50" s="18"/>
    </row>
    <row r="51" spans="1:22" x14ac:dyDescent="0.3">
      <c r="A51" s="18"/>
      <c r="B51" s="18"/>
      <c r="C51" s="18"/>
      <c r="D51" s="18"/>
      <c r="E51" s="18"/>
      <c r="F51" s="18"/>
      <c r="G51" s="18"/>
      <c r="H51" s="18"/>
      <c r="I51" s="18"/>
      <c r="J51" s="18"/>
      <c r="K51" s="18"/>
      <c r="L51" s="18"/>
      <c r="M51" s="18"/>
      <c r="N51" s="18"/>
      <c r="O51" s="18"/>
      <c r="P51" s="18"/>
      <c r="Q51" s="18"/>
      <c r="R51" s="18"/>
      <c r="S51" s="18"/>
      <c r="T51" s="18"/>
      <c r="U51" s="18"/>
      <c r="V51" s="18"/>
    </row>
    <row r="52" spans="1:22" x14ac:dyDescent="0.3">
      <c r="A52" s="18"/>
      <c r="B52" s="18"/>
      <c r="C52" s="18"/>
      <c r="D52" s="18"/>
      <c r="E52" s="18"/>
      <c r="F52" s="18"/>
      <c r="G52" s="18"/>
      <c r="H52" s="18"/>
      <c r="I52" s="18"/>
      <c r="J52" s="18"/>
      <c r="K52" s="18"/>
      <c r="L52" s="18"/>
      <c r="M52" s="18"/>
      <c r="N52" s="18"/>
      <c r="O52" s="18"/>
      <c r="P52" s="18"/>
      <c r="Q52" s="18"/>
      <c r="R52" s="18"/>
      <c r="S52" s="18"/>
      <c r="T52" s="18"/>
      <c r="U52" s="18"/>
      <c r="V52" s="18"/>
    </row>
    <row r="53" spans="1:22" x14ac:dyDescent="0.3">
      <c r="A53" s="18"/>
      <c r="B53" s="18"/>
      <c r="C53" s="18"/>
      <c r="D53" s="18"/>
      <c r="E53" s="18"/>
      <c r="F53" s="18"/>
      <c r="G53" s="18"/>
      <c r="H53" s="18"/>
      <c r="I53" s="18"/>
      <c r="J53" s="18"/>
      <c r="K53" s="18"/>
      <c r="L53" s="18"/>
      <c r="M53" s="18"/>
      <c r="N53" s="18"/>
      <c r="O53" s="18"/>
      <c r="P53" s="18"/>
      <c r="Q53" s="18"/>
      <c r="R53" s="18"/>
      <c r="S53" s="18"/>
      <c r="T53" s="18"/>
      <c r="U53" s="18"/>
      <c r="V53" s="18"/>
    </row>
    <row r="54" spans="1:22" x14ac:dyDescent="0.3">
      <c r="A54" s="18"/>
      <c r="B54" s="18"/>
      <c r="C54" s="18"/>
      <c r="D54" s="18"/>
      <c r="E54" s="18"/>
      <c r="F54" s="18"/>
      <c r="G54" s="18"/>
      <c r="H54" s="18"/>
      <c r="I54" s="18"/>
      <c r="J54" s="18"/>
      <c r="K54" s="18"/>
      <c r="L54" s="18"/>
      <c r="M54" s="18"/>
      <c r="N54" s="18"/>
      <c r="O54" s="18"/>
      <c r="P54" s="18"/>
      <c r="Q54" s="18"/>
      <c r="R54" s="18"/>
      <c r="S54" s="18"/>
      <c r="T54" s="18"/>
      <c r="U54" s="18"/>
      <c r="V54" s="18"/>
    </row>
    <row r="55" spans="1:22" x14ac:dyDescent="0.3">
      <c r="A55" s="18"/>
      <c r="B55" s="18"/>
      <c r="C55" s="18"/>
      <c r="D55" s="18"/>
      <c r="E55" s="18"/>
      <c r="F55" s="18"/>
      <c r="G55" s="18"/>
      <c r="H55" s="18"/>
      <c r="I55" s="18"/>
      <c r="J55" s="18"/>
      <c r="K55" s="18"/>
      <c r="L55" s="18"/>
      <c r="M55" s="18"/>
      <c r="N55" s="18"/>
      <c r="O55" s="18"/>
      <c r="P55" s="18"/>
      <c r="Q55" s="18"/>
      <c r="R55" s="18"/>
      <c r="S55" s="18"/>
      <c r="T55" s="18"/>
      <c r="U55" s="18"/>
      <c r="V55" s="18"/>
    </row>
    <row r="56" spans="1:22" x14ac:dyDescent="0.3">
      <c r="A56" s="18"/>
      <c r="B56" s="18"/>
      <c r="C56" s="18"/>
      <c r="D56" s="18"/>
      <c r="E56" s="18"/>
      <c r="F56" s="18"/>
      <c r="G56" s="18"/>
      <c r="H56" s="18"/>
      <c r="I56" s="18"/>
      <c r="J56" s="18"/>
      <c r="K56" s="18"/>
      <c r="L56" s="18"/>
      <c r="M56" s="18"/>
      <c r="N56" s="18"/>
      <c r="O56" s="18"/>
      <c r="P56" s="18"/>
      <c r="Q56" s="18"/>
      <c r="R56" s="18"/>
      <c r="S56" s="18"/>
      <c r="T56" s="18"/>
      <c r="U56" s="18"/>
      <c r="V56" s="18"/>
    </row>
    <row r="57" spans="1:22" x14ac:dyDescent="0.3">
      <c r="A57" s="18"/>
      <c r="B57" s="18"/>
      <c r="C57" s="18"/>
      <c r="D57" s="18"/>
      <c r="E57" s="18"/>
      <c r="F57" s="18"/>
      <c r="G57" s="18"/>
      <c r="H57" s="18"/>
      <c r="I57" s="18"/>
      <c r="J57" s="18"/>
      <c r="K57" s="18"/>
      <c r="L57" s="18"/>
      <c r="M57" s="18"/>
      <c r="N57" s="18"/>
      <c r="O57" s="18"/>
      <c r="P57" s="18"/>
      <c r="Q57" s="18"/>
      <c r="R57" s="18"/>
      <c r="S57" s="18"/>
      <c r="T57" s="18"/>
      <c r="U57" s="18"/>
      <c r="V57" s="18"/>
    </row>
    <row r="58" spans="1:22" x14ac:dyDescent="0.3">
      <c r="A58" s="18"/>
      <c r="B58" s="18"/>
      <c r="C58" s="18"/>
      <c r="D58" s="18"/>
      <c r="E58" s="18"/>
      <c r="F58" s="18"/>
      <c r="G58" s="18"/>
      <c r="H58" s="18"/>
      <c r="I58" s="18"/>
      <c r="J58" s="18"/>
      <c r="K58" s="18"/>
      <c r="L58" s="18"/>
      <c r="M58" s="18"/>
      <c r="N58" s="18"/>
      <c r="O58" s="18"/>
      <c r="P58" s="18"/>
      <c r="Q58" s="18"/>
      <c r="R58" s="18"/>
      <c r="S58" s="18"/>
      <c r="T58" s="18"/>
      <c r="U58" s="18"/>
      <c r="V58" s="18"/>
    </row>
    <row r="59" spans="1:22" x14ac:dyDescent="0.3">
      <c r="A59" s="18"/>
      <c r="B59" s="18"/>
      <c r="C59" s="18"/>
      <c r="D59" s="18"/>
      <c r="E59" s="18"/>
      <c r="F59" s="18"/>
      <c r="G59" s="18"/>
      <c r="H59" s="18"/>
      <c r="I59" s="18"/>
      <c r="J59" s="18"/>
      <c r="K59" s="18"/>
      <c r="L59" s="18"/>
      <c r="M59" s="18"/>
      <c r="N59" s="18"/>
      <c r="O59" s="18"/>
      <c r="P59" s="18"/>
      <c r="Q59" s="18"/>
      <c r="R59" s="18"/>
      <c r="S59" s="18"/>
      <c r="T59" s="18"/>
      <c r="U59" s="18"/>
      <c r="V59" s="18"/>
    </row>
    <row r="60" spans="1:22" x14ac:dyDescent="0.3">
      <c r="A60" s="18"/>
      <c r="B60" s="18"/>
      <c r="C60" s="18"/>
      <c r="D60" s="18"/>
      <c r="E60" s="18"/>
      <c r="F60" s="18"/>
      <c r="G60" s="18"/>
      <c r="H60" s="18"/>
      <c r="I60" s="18"/>
      <c r="J60" s="18"/>
      <c r="K60" s="18"/>
      <c r="L60" s="18"/>
      <c r="M60" s="18"/>
      <c r="N60" s="18"/>
      <c r="O60" s="18"/>
      <c r="P60" s="18"/>
      <c r="Q60" s="18"/>
      <c r="R60" s="18"/>
      <c r="S60" s="18"/>
      <c r="T60" s="18"/>
      <c r="U60" s="18"/>
      <c r="V60" s="18"/>
    </row>
    <row r="61" spans="1:22" x14ac:dyDescent="0.3">
      <c r="A61" s="18"/>
      <c r="B61" s="18"/>
      <c r="C61" s="18"/>
      <c r="D61" s="18"/>
      <c r="E61" s="18"/>
      <c r="F61" s="18"/>
      <c r="G61" s="18"/>
      <c r="H61" s="18"/>
      <c r="I61" s="18"/>
      <c r="J61" s="18"/>
      <c r="K61" s="18"/>
      <c r="L61" s="18"/>
      <c r="M61" s="18"/>
      <c r="N61" s="18"/>
      <c r="O61" s="18"/>
      <c r="P61" s="18"/>
      <c r="Q61" s="18"/>
      <c r="R61" s="18"/>
      <c r="S61" s="18"/>
      <c r="T61" s="18"/>
      <c r="U61" s="18"/>
      <c r="V61" s="18"/>
    </row>
    <row r="62" spans="1:22" x14ac:dyDescent="0.3">
      <c r="A62" s="18"/>
      <c r="B62" s="18"/>
      <c r="C62" s="18"/>
      <c r="D62" s="18"/>
      <c r="E62" s="18"/>
      <c r="F62" s="18"/>
      <c r="G62" s="18"/>
      <c r="H62" s="18"/>
      <c r="I62" s="18"/>
      <c r="J62" s="18"/>
      <c r="K62" s="18"/>
      <c r="L62" s="18"/>
      <c r="M62" s="18"/>
      <c r="N62" s="18"/>
      <c r="O62" s="18"/>
      <c r="P62" s="18"/>
      <c r="Q62" s="18"/>
      <c r="R62" s="18"/>
      <c r="S62" s="18"/>
      <c r="T62" s="18"/>
      <c r="U62" s="18"/>
      <c r="V62" s="18"/>
    </row>
    <row r="63" spans="1:22" x14ac:dyDescent="0.3">
      <c r="A63" s="18"/>
      <c r="B63" s="18"/>
      <c r="C63" s="18"/>
      <c r="D63" s="18"/>
      <c r="E63" s="18"/>
      <c r="F63" s="18"/>
      <c r="G63" s="18"/>
      <c r="H63" s="18"/>
      <c r="I63" s="18"/>
      <c r="J63" s="18"/>
      <c r="K63" s="18"/>
      <c r="L63" s="18"/>
      <c r="M63" s="18"/>
      <c r="N63" s="18"/>
      <c r="O63" s="18"/>
      <c r="P63" s="18"/>
      <c r="Q63" s="18"/>
      <c r="R63" s="18"/>
      <c r="S63" s="18"/>
      <c r="T63" s="18"/>
      <c r="U63" s="18"/>
      <c r="V63" s="18"/>
    </row>
    <row r="64" spans="1:22" x14ac:dyDescent="0.3">
      <c r="A64" s="18"/>
      <c r="B64" s="18"/>
      <c r="C64" s="18"/>
      <c r="D64" s="18"/>
      <c r="E64" s="18"/>
      <c r="F64" s="18"/>
      <c r="G64" s="18"/>
      <c r="H64" s="18"/>
      <c r="I64" s="18"/>
      <c r="J64" s="18"/>
      <c r="K64" s="18"/>
      <c r="L64" s="18"/>
      <c r="M64" s="18"/>
      <c r="N64" s="18"/>
      <c r="O64" s="18"/>
      <c r="P64" s="18"/>
      <c r="Q64" s="18"/>
      <c r="R64" s="18"/>
      <c r="S64" s="18"/>
      <c r="T64" s="18"/>
      <c r="U64" s="18"/>
      <c r="V64" s="18"/>
    </row>
    <row r="65" spans="1:22" x14ac:dyDescent="0.3">
      <c r="A65" s="18"/>
      <c r="B65" s="18"/>
      <c r="C65" s="18"/>
      <c r="D65" s="18"/>
      <c r="E65" s="18"/>
      <c r="F65" s="18"/>
      <c r="G65" s="18"/>
      <c r="H65" s="18"/>
      <c r="I65" s="18"/>
      <c r="J65" s="18"/>
      <c r="K65" s="18"/>
      <c r="L65" s="18"/>
      <c r="M65" s="18"/>
      <c r="N65" s="18"/>
      <c r="O65" s="18"/>
      <c r="P65" s="18"/>
      <c r="Q65" s="18"/>
      <c r="R65" s="18"/>
      <c r="S65" s="18"/>
      <c r="T65" s="18"/>
      <c r="U65" s="18"/>
      <c r="V65" s="18"/>
    </row>
    <row r="66" spans="1:22" x14ac:dyDescent="0.3">
      <c r="A66" s="18"/>
      <c r="B66" s="18"/>
      <c r="C66" s="18"/>
      <c r="D66" s="18"/>
      <c r="E66" s="18"/>
      <c r="F66" s="18"/>
      <c r="G66" s="18"/>
      <c r="H66" s="18"/>
      <c r="I66" s="18"/>
      <c r="J66" s="18"/>
      <c r="K66" s="18"/>
      <c r="L66" s="18"/>
      <c r="M66" s="18"/>
      <c r="N66" s="18"/>
      <c r="O66" s="18"/>
      <c r="P66" s="18"/>
      <c r="Q66" s="18"/>
      <c r="R66" s="18"/>
      <c r="S66" s="18"/>
      <c r="T66" s="18"/>
      <c r="U66" s="18"/>
      <c r="V66" s="18"/>
    </row>
    <row r="67" spans="1:22" x14ac:dyDescent="0.3">
      <c r="A67" s="18"/>
      <c r="B67" s="18"/>
      <c r="C67" s="18"/>
      <c r="D67" s="18"/>
      <c r="E67" s="18"/>
      <c r="F67" s="18"/>
      <c r="G67" s="18"/>
      <c r="H67" s="18"/>
      <c r="I67" s="18"/>
      <c r="J67" s="18"/>
      <c r="K67" s="18"/>
      <c r="L67" s="18"/>
      <c r="M67" s="18"/>
      <c r="N67" s="18"/>
      <c r="O67" s="18"/>
      <c r="P67" s="18"/>
      <c r="Q67" s="18"/>
      <c r="R67" s="18"/>
      <c r="S67" s="18"/>
      <c r="T67" s="18"/>
      <c r="U67" s="18"/>
      <c r="V67" s="18"/>
    </row>
    <row r="68" spans="1:22" x14ac:dyDescent="0.3">
      <c r="A68" s="18"/>
      <c r="B68" s="18"/>
      <c r="C68" s="18"/>
      <c r="D68" s="18"/>
      <c r="E68" s="18"/>
      <c r="F68" s="18"/>
      <c r="G68" s="18"/>
      <c r="H68" s="18"/>
      <c r="I68" s="18"/>
      <c r="J68" s="18"/>
      <c r="K68" s="18"/>
      <c r="L68" s="18"/>
      <c r="M68" s="18"/>
      <c r="N68" s="18"/>
      <c r="O68" s="18"/>
      <c r="P68" s="18"/>
      <c r="Q68" s="18"/>
      <c r="R68" s="18"/>
      <c r="S68" s="18"/>
      <c r="T68" s="18"/>
      <c r="U68" s="18"/>
      <c r="V68" s="18"/>
    </row>
    <row r="69" spans="1:22" x14ac:dyDescent="0.3">
      <c r="A69" s="18"/>
      <c r="B69" s="18"/>
      <c r="C69" s="18"/>
      <c r="D69" s="18"/>
      <c r="E69" s="18"/>
      <c r="F69" s="18"/>
      <c r="G69" s="18"/>
      <c r="H69" s="18"/>
      <c r="I69" s="18"/>
      <c r="J69" s="18"/>
      <c r="K69" s="18"/>
      <c r="L69" s="18"/>
      <c r="M69" s="18"/>
      <c r="N69" s="18"/>
      <c r="O69" s="18"/>
      <c r="P69" s="18"/>
      <c r="Q69" s="18"/>
      <c r="R69" s="18"/>
      <c r="S69" s="18"/>
      <c r="T69" s="18"/>
      <c r="U69" s="18"/>
      <c r="V69" s="18"/>
    </row>
    <row r="70" spans="1:22" x14ac:dyDescent="0.3">
      <c r="A70" s="18"/>
      <c r="B70" s="18"/>
      <c r="C70" s="18"/>
      <c r="D70" s="18"/>
      <c r="E70" s="18"/>
      <c r="F70" s="18"/>
      <c r="G70" s="18"/>
      <c r="H70" s="18"/>
      <c r="I70" s="18"/>
      <c r="J70" s="18"/>
      <c r="K70" s="18"/>
      <c r="L70" s="18"/>
      <c r="M70" s="18"/>
      <c r="N70" s="18"/>
      <c r="O70" s="18"/>
      <c r="P70" s="18"/>
      <c r="Q70" s="18"/>
      <c r="R70" s="18"/>
      <c r="S70" s="18"/>
      <c r="T70" s="18"/>
      <c r="U70" s="18"/>
      <c r="V70" s="18"/>
    </row>
    <row r="71" spans="1:22" x14ac:dyDescent="0.3">
      <c r="A71" s="18"/>
      <c r="B71" s="18"/>
      <c r="C71" s="18"/>
      <c r="D71" s="18"/>
      <c r="E71" s="18"/>
      <c r="F71" s="18"/>
      <c r="G71" s="18"/>
      <c r="H71" s="18"/>
      <c r="I71" s="18"/>
      <c r="J71" s="18"/>
      <c r="K71" s="18"/>
      <c r="L71" s="18"/>
      <c r="M71" s="18"/>
      <c r="N71" s="18"/>
      <c r="O71" s="18"/>
      <c r="P71" s="18"/>
      <c r="Q71" s="18"/>
      <c r="R71" s="18"/>
      <c r="S71" s="18"/>
      <c r="T71" s="18"/>
      <c r="U71" s="18"/>
      <c r="V71" s="18"/>
    </row>
    <row r="72" spans="1:22" x14ac:dyDescent="0.3">
      <c r="A72" s="18"/>
      <c r="B72" s="18"/>
      <c r="C72" s="18"/>
      <c r="D72" s="18"/>
      <c r="E72" s="18"/>
      <c r="F72" s="18"/>
      <c r="G72" s="18"/>
      <c r="H72" s="18"/>
      <c r="I72" s="18"/>
      <c r="J72" s="18"/>
      <c r="K72" s="18"/>
      <c r="L72" s="18"/>
      <c r="M72" s="18"/>
      <c r="N72" s="18"/>
      <c r="O72" s="18"/>
      <c r="P72" s="18"/>
      <c r="Q72" s="18"/>
      <c r="R72" s="18"/>
      <c r="S72" s="18"/>
      <c r="T72" s="18"/>
      <c r="U72" s="18"/>
      <c r="V72" s="18"/>
    </row>
    <row r="73" spans="1:22" x14ac:dyDescent="0.3">
      <c r="A73" s="18"/>
      <c r="B73" s="18"/>
      <c r="C73" s="18"/>
      <c r="D73" s="18"/>
      <c r="E73" s="18"/>
      <c r="F73" s="18"/>
      <c r="G73" s="18"/>
      <c r="H73" s="18"/>
      <c r="I73" s="18"/>
      <c r="J73" s="18"/>
      <c r="K73" s="18"/>
      <c r="L73" s="18"/>
      <c r="M73" s="18"/>
      <c r="N73" s="18"/>
      <c r="O73" s="18"/>
      <c r="P73" s="18"/>
      <c r="Q73" s="18"/>
      <c r="R73" s="18"/>
      <c r="S73" s="18"/>
      <c r="T73" s="18"/>
      <c r="U73" s="18"/>
      <c r="V73" s="18"/>
    </row>
    <row r="74" spans="1:22" x14ac:dyDescent="0.3">
      <c r="A74" s="18"/>
      <c r="B74" s="18"/>
      <c r="C74" s="18"/>
      <c r="D74" s="18"/>
      <c r="E74" s="18"/>
      <c r="F74" s="18"/>
      <c r="G74" s="18"/>
      <c r="H74" s="18"/>
      <c r="I74" s="18"/>
      <c r="J74" s="18"/>
      <c r="K74" s="18"/>
      <c r="L74" s="18"/>
      <c r="M74" s="18"/>
      <c r="N74" s="18"/>
      <c r="O74" s="18"/>
      <c r="P74" s="18"/>
      <c r="Q74" s="18"/>
      <c r="R74" s="18"/>
      <c r="S74" s="18"/>
      <c r="T74" s="18"/>
      <c r="U74" s="18"/>
      <c r="V74" s="18"/>
    </row>
    <row r="75" spans="1:22" x14ac:dyDescent="0.3">
      <c r="A75" s="18"/>
      <c r="B75" s="18"/>
      <c r="C75" s="18"/>
      <c r="D75" s="18"/>
      <c r="E75" s="18"/>
      <c r="F75" s="18"/>
      <c r="G75" s="18"/>
      <c r="H75" s="18"/>
      <c r="I75" s="18"/>
      <c r="J75" s="18"/>
      <c r="K75" s="18"/>
      <c r="L75" s="18"/>
      <c r="M75" s="18"/>
      <c r="N75" s="18"/>
      <c r="O75" s="18"/>
      <c r="P75" s="18"/>
      <c r="Q75" s="18"/>
      <c r="R75" s="18"/>
      <c r="S75" s="18"/>
      <c r="T75" s="18"/>
      <c r="U75" s="18"/>
      <c r="V75" s="18"/>
    </row>
    <row r="76" spans="1:22" x14ac:dyDescent="0.3">
      <c r="A76" s="18"/>
      <c r="B76" s="18"/>
      <c r="C76" s="18"/>
      <c r="D76" s="18"/>
      <c r="E76" s="18"/>
      <c r="F76" s="18"/>
      <c r="G76" s="18"/>
      <c r="H76" s="18"/>
      <c r="I76" s="18"/>
      <c r="J76" s="18"/>
      <c r="K76" s="18"/>
      <c r="L76" s="18"/>
      <c r="M76" s="18"/>
      <c r="N76" s="18"/>
      <c r="O76" s="18"/>
      <c r="P76" s="18"/>
      <c r="Q76" s="18"/>
      <c r="R76" s="18"/>
      <c r="S76" s="18"/>
      <c r="T76" s="18"/>
      <c r="U76" s="18"/>
      <c r="V76" s="18"/>
    </row>
    <row r="77" spans="1:22" x14ac:dyDescent="0.3">
      <c r="A77" s="18"/>
      <c r="B77" s="18"/>
      <c r="C77" s="18"/>
      <c r="D77" s="18"/>
      <c r="E77" s="18"/>
      <c r="F77" s="18"/>
      <c r="G77" s="18"/>
      <c r="H77" s="18"/>
      <c r="I77" s="18"/>
      <c r="J77" s="18"/>
      <c r="K77" s="18"/>
      <c r="L77" s="18"/>
      <c r="M77" s="18"/>
      <c r="N77" s="18"/>
      <c r="O77" s="18"/>
      <c r="P77" s="18"/>
      <c r="Q77" s="18"/>
      <c r="R77" s="18"/>
      <c r="S77" s="18"/>
      <c r="T77" s="18"/>
      <c r="U77" s="18"/>
      <c r="V77" s="18"/>
    </row>
    <row r="78" spans="1:22" x14ac:dyDescent="0.3">
      <c r="A78" s="18"/>
      <c r="B78" s="18"/>
      <c r="C78" s="18"/>
      <c r="D78" s="18"/>
      <c r="E78" s="18"/>
      <c r="F78" s="18"/>
      <c r="G78" s="18"/>
      <c r="H78" s="18"/>
      <c r="I78" s="18"/>
      <c r="J78" s="18"/>
      <c r="K78" s="18"/>
      <c r="L78" s="18"/>
      <c r="M78" s="18"/>
      <c r="N78" s="18"/>
      <c r="O78" s="18"/>
      <c r="P78" s="18"/>
      <c r="Q78" s="18"/>
      <c r="R78" s="18"/>
      <c r="S78" s="18"/>
      <c r="T78" s="18"/>
      <c r="U78" s="18"/>
      <c r="V78" s="18"/>
    </row>
    <row r="79" spans="1:22" x14ac:dyDescent="0.3">
      <c r="A79" s="18"/>
      <c r="B79" s="18"/>
      <c r="C79" s="18"/>
      <c r="D79" s="18"/>
      <c r="E79" s="18"/>
      <c r="F79" s="18"/>
      <c r="G79" s="18"/>
      <c r="H79" s="18"/>
      <c r="I79" s="18"/>
      <c r="J79" s="18"/>
      <c r="K79" s="18"/>
      <c r="L79" s="18"/>
      <c r="M79" s="18"/>
      <c r="N79" s="18"/>
      <c r="O79" s="18"/>
      <c r="P79" s="18"/>
      <c r="Q79" s="18"/>
      <c r="R79" s="18"/>
      <c r="S79" s="18"/>
      <c r="T79" s="18"/>
      <c r="U79" s="18"/>
      <c r="V79" s="18"/>
    </row>
    <row r="80" spans="1:22" x14ac:dyDescent="0.3">
      <c r="A80" s="18"/>
      <c r="B80" s="18"/>
      <c r="C80" s="18"/>
      <c r="D80" s="18"/>
      <c r="E80" s="18"/>
      <c r="F80" s="18"/>
      <c r="G80" s="18"/>
      <c r="H80" s="18"/>
      <c r="I80" s="18"/>
      <c r="J80" s="18"/>
      <c r="K80" s="18"/>
      <c r="L80" s="18"/>
      <c r="M80" s="18"/>
      <c r="N80" s="18"/>
      <c r="O80" s="18"/>
      <c r="P80" s="18"/>
      <c r="Q80" s="18"/>
      <c r="R80" s="18"/>
      <c r="S80" s="18"/>
      <c r="T80" s="18"/>
      <c r="U80" s="18"/>
      <c r="V80" s="18"/>
    </row>
    <row r="81" spans="1:22" x14ac:dyDescent="0.3">
      <c r="A81" s="18"/>
      <c r="B81" s="18"/>
      <c r="C81" s="18"/>
      <c r="D81" s="18"/>
      <c r="E81" s="18"/>
      <c r="F81" s="18"/>
      <c r="G81" s="18"/>
      <c r="H81" s="18"/>
      <c r="I81" s="18"/>
      <c r="J81" s="18"/>
      <c r="K81" s="18"/>
      <c r="L81" s="18"/>
      <c r="M81" s="18"/>
      <c r="N81" s="18"/>
      <c r="O81" s="18"/>
      <c r="P81" s="18"/>
      <c r="Q81" s="18"/>
      <c r="R81" s="18"/>
      <c r="S81" s="18"/>
      <c r="T81" s="18"/>
      <c r="U81" s="18"/>
      <c r="V81" s="18"/>
    </row>
    <row r="82" spans="1:22" x14ac:dyDescent="0.3">
      <c r="A82" s="18"/>
      <c r="B82" s="18"/>
      <c r="C82" s="18"/>
      <c r="D82" s="18"/>
      <c r="E82" s="18"/>
      <c r="F82" s="18"/>
      <c r="G82" s="18"/>
      <c r="H82" s="18"/>
      <c r="I82" s="18"/>
      <c r="J82" s="18"/>
      <c r="K82" s="18"/>
      <c r="L82" s="18"/>
      <c r="M82" s="18"/>
      <c r="N82" s="18"/>
      <c r="O82" s="18"/>
      <c r="P82" s="18"/>
      <c r="Q82" s="18"/>
      <c r="R82" s="18"/>
      <c r="S82" s="18"/>
      <c r="T82" s="18"/>
      <c r="U82" s="18"/>
      <c r="V82" s="18"/>
    </row>
    <row r="83" spans="1:22" x14ac:dyDescent="0.3">
      <c r="A83" s="18"/>
      <c r="B83" s="18"/>
      <c r="C83" s="18"/>
      <c r="D83" s="18"/>
      <c r="E83" s="18"/>
      <c r="F83" s="18"/>
      <c r="G83" s="18"/>
      <c r="H83" s="18"/>
      <c r="I83" s="18"/>
      <c r="J83" s="18"/>
      <c r="K83" s="18"/>
      <c r="L83" s="18"/>
      <c r="M83" s="18"/>
      <c r="N83" s="18"/>
      <c r="O83" s="18"/>
      <c r="P83" s="18"/>
      <c r="Q83" s="18"/>
      <c r="R83" s="18"/>
      <c r="S83" s="18"/>
      <c r="T83" s="18"/>
      <c r="U83" s="18"/>
      <c r="V83" s="18"/>
    </row>
    <row r="84" spans="1:22" x14ac:dyDescent="0.3">
      <c r="A84" s="18"/>
      <c r="B84" s="18"/>
      <c r="C84" s="18"/>
      <c r="D84" s="18"/>
      <c r="E84" s="18"/>
      <c r="F84" s="18"/>
      <c r="G84" s="18"/>
      <c r="H84" s="18"/>
      <c r="I84" s="18"/>
      <c r="J84" s="18"/>
      <c r="K84" s="18"/>
      <c r="L84" s="18"/>
      <c r="M84" s="18"/>
      <c r="N84" s="18"/>
      <c r="O84" s="18"/>
      <c r="P84" s="18"/>
      <c r="Q84" s="18"/>
      <c r="R84" s="18"/>
      <c r="S84" s="18"/>
      <c r="T84" s="18"/>
      <c r="U84" s="18"/>
      <c r="V84" s="18"/>
    </row>
    <row r="85" spans="1:22" x14ac:dyDescent="0.3">
      <c r="A85" s="18"/>
      <c r="B85" s="18"/>
      <c r="C85" s="18"/>
      <c r="D85" s="18"/>
      <c r="E85" s="18"/>
      <c r="F85" s="18"/>
      <c r="G85" s="18"/>
      <c r="H85" s="18"/>
      <c r="I85" s="18"/>
      <c r="J85" s="18"/>
      <c r="K85" s="18"/>
      <c r="L85" s="18"/>
      <c r="M85" s="18"/>
      <c r="N85" s="18"/>
      <c r="O85" s="18"/>
      <c r="P85" s="18"/>
      <c r="Q85" s="18"/>
      <c r="R85" s="18"/>
      <c r="S85" s="18"/>
      <c r="T85" s="18"/>
      <c r="U85" s="18"/>
      <c r="V85" s="18"/>
    </row>
    <row r="86" spans="1:22" x14ac:dyDescent="0.3">
      <c r="A86" s="18"/>
      <c r="B86" s="18"/>
      <c r="C86" s="18"/>
      <c r="D86" s="18"/>
      <c r="E86" s="18"/>
      <c r="F86" s="18"/>
      <c r="G86" s="18"/>
      <c r="H86" s="18"/>
      <c r="I86" s="18"/>
      <c r="J86" s="18"/>
      <c r="K86" s="18"/>
      <c r="L86" s="18"/>
      <c r="M86" s="18"/>
      <c r="N86" s="18"/>
      <c r="O86" s="18"/>
      <c r="P86" s="18"/>
      <c r="Q86" s="18"/>
      <c r="R86" s="18"/>
      <c r="S86" s="18"/>
      <c r="T86" s="18"/>
      <c r="U86" s="18"/>
      <c r="V86" s="18"/>
    </row>
    <row r="87" spans="1:22" x14ac:dyDescent="0.3">
      <c r="A87" s="18"/>
      <c r="B87" s="18"/>
      <c r="C87" s="18"/>
      <c r="D87" s="18"/>
      <c r="E87" s="18"/>
      <c r="F87" s="18"/>
      <c r="G87" s="18"/>
      <c r="H87" s="18"/>
      <c r="I87" s="18"/>
      <c r="J87" s="18"/>
      <c r="K87" s="18"/>
      <c r="L87" s="18"/>
      <c r="M87" s="18"/>
      <c r="N87" s="18"/>
      <c r="O87" s="18"/>
      <c r="P87" s="18"/>
      <c r="Q87" s="18"/>
      <c r="R87" s="18"/>
      <c r="S87" s="18"/>
      <c r="T87" s="18"/>
      <c r="U87" s="18"/>
      <c r="V87" s="18"/>
    </row>
    <row r="88" spans="1:22" x14ac:dyDescent="0.3">
      <c r="A88" s="18"/>
      <c r="B88" s="18"/>
      <c r="C88" s="18"/>
      <c r="D88" s="18"/>
      <c r="E88" s="18"/>
      <c r="F88" s="18"/>
      <c r="G88" s="18"/>
      <c r="H88" s="18"/>
      <c r="I88" s="18"/>
      <c r="J88" s="18"/>
      <c r="K88" s="18"/>
      <c r="L88" s="18"/>
      <c r="M88" s="18"/>
      <c r="N88" s="18"/>
      <c r="O88" s="18"/>
      <c r="P88" s="18"/>
      <c r="Q88" s="18"/>
      <c r="R88" s="18"/>
      <c r="S88" s="18"/>
      <c r="T88" s="18"/>
      <c r="U88" s="18"/>
      <c r="V88" s="18"/>
    </row>
    <row r="89" spans="1:22" x14ac:dyDescent="0.3">
      <c r="A89" s="18"/>
      <c r="B89" s="18"/>
      <c r="C89" s="18"/>
      <c r="D89" s="18"/>
      <c r="E89" s="18"/>
      <c r="F89" s="18"/>
      <c r="G89" s="18"/>
      <c r="H89" s="18"/>
      <c r="I89" s="18"/>
      <c r="J89" s="18"/>
      <c r="K89" s="18"/>
      <c r="L89" s="18"/>
      <c r="M89" s="18"/>
      <c r="N89" s="18"/>
      <c r="O89" s="18"/>
      <c r="P89" s="18"/>
      <c r="Q89" s="18"/>
      <c r="R89" s="18"/>
      <c r="S89" s="18"/>
      <c r="T89" s="18"/>
      <c r="U89" s="18"/>
      <c r="V89" s="18"/>
    </row>
    <row r="90" spans="1:22" x14ac:dyDescent="0.3">
      <c r="A90" s="18"/>
      <c r="B90" s="18"/>
      <c r="C90" s="18"/>
      <c r="D90" s="18"/>
      <c r="E90" s="18"/>
      <c r="F90" s="18"/>
      <c r="G90" s="18"/>
      <c r="H90" s="18"/>
      <c r="I90" s="18"/>
      <c r="J90" s="18"/>
      <c r="K90" s="18"/>
      <c r="L90" s="18"/>
      <c r="M90" s="18"/>
      <c r="N90" s="18"/>
      <c r="O90" s="18"/>
      <c r="P90" s="18"/>
      <c r="Q90" s="18"/>
      <c r="R90" s="18"/>
      <c r="S90" s="18"/>
      <c r="T90" s="18"/>
      <c r="U90" s="18"/>
      <c r="V90" s="18"/>
    </row>
    <row r="91" spans="1:22" x14ac:dyDescent="0.3">
      <c r="A91" s="18"/>
      <c r="B91" s="18"/>
      <c r="C91" s="18"/>
      <c r="D91" s="18"/>
      <c r="E91" s="18"/>
      <c r="F91" s="18"/>
      <c r="G91" s="18"/>
      <c r="H91" s="18"/>
      <c r="I91" s="18"/>
      <c r="J91" s="18"/>
      <c r="K91" s="18"/>
      <c r="L91" s="18"/>
      <c r="M91" s="18"/>
      <c r="N91" s="18"/>
      <c r="O91" s="18"/>
      <c r="P91" s="18"/>
      <c r="Q91" s="18"/>
      <c r="R91" s="18"/>
      <c r="S91" s="18"/>
      <c r="T91" s="18"/>
      <c r="U91" s="18"/>
      <c r="V91" s="18"/>
    </row>
    <row r="92" spans="1:22" x14ac:dyDescent="0.3">
      <c r="A92" s="18"/>
      <c r="B92" s="18"/>
      <c r="C92" s="18"/>
      <c r="D92" s="18"/>
      <c r="E92" s="18"/>
      <c r="F92" s="18"/>
      <c r="G92" s="18"/>
      <c r="H92" s="18"/>
      <c r="I92" s="18"/>
      <c r="J92" s="18"/>
      <c r="K92" s="18"/>
      <c r="L92" s="18"/>
      <c r="M92" s="18"/>
      <c r="N92" s="18"/>
      <c r="O92" s="18"/>
      <c r="P92" s="18"/>
      <c r="Q92" s="18"/>
      <c r="R92" s="18"/>
      <c r="S92" s="18"/>
      <c r="T92" s="18"/>
      <c r="U92" s="18"/>
      <c r="V92" s="18"/>
    </row>
    <row r="93" spans="1:22" x14ac:dyDescent="0.3">
      <c r="A93" s="18"/>
      <c r="B93" s="18"/>
      <c r="C93" s="18"/>
      <c r="D93" s="18"/>
      <c r="E93" s="18"/>
      <c r="F93" s="18"/>
      <c r="G93" s="18"/>
      <c r="H93" s="18"/>
      <c r="I93" s="18"/>
      <c r="J93" s="18"/>
      <c r="K93" s="18"/>
      <c r="L93" s="18"/>
      <c r="M93" s="18"/>
      <c r="N93" s="18"/>
      <c r="O93" s="18"/>
      <c r="P93" s="18"/>
      <c r="Q93" s="18"/>
      <c r="R93" s="18"/>
      <c r="S93" s="18"/>
      <c r="T93" s="18"/>
      <c r="U93" s="18"/>
      <c r="V93" s="18"/>
    </row>
    <row r="94" spans="1:22" x14ac:dyDescent="0.3">
      <c r="A94" s="18"/>
      <c r="B94" s="18"/>
      <c r="C94" s="18"/>
      <c r="D94" s="18"/>
      <c r="E94" s="18"/>
      <c r="F94" s="18"/>
      <c r="G94" s="18"/>
      <c r="H94" s="18"/>
      <c r="I94" s="18"/>
      <c r="J94" s="18"/>
      <c r="K94" s="18"/>
      <c r="L94" s="18"/>
      <c r="M94" s="18"/>
      <c r="N94" s="18"/>
      <c r="O94" s="18"/>
      <c r="P94" s="18"/>
      <c r="Q94" s="18"/>
      <c r="R94" s="18"/>
      <c r="S94" s="18"/>
      <c r="T94" s="18"/>
      <c r="U94" s="18"/>
      <c r="V94" s="18"/>
    </row>
    <row r="95" spans="1:22" x14ac:dyDescent="0.3">
      <c r="A95" s="18"/>
      <c r="B95" s="18"/>
      <c r="C95" s="18"/>
      <c r="D95" s="18"/>
      <c r="E95" s="18"/>
      <c r="F95" s="18"/>
      <c r="G95" s="18"/>
      <c r="H95" s="18"/>
      <c r="I95" s="18"/>
      <c r="J95" s="18"/>
      <c r="K95" s="18"/>
      <c r="L95" s="18"/>
      <c r="M95" s="18"/>
      <c r="N95" s="18"/>
      <c r="O95" s="18"/>
      <c r="P95" s="18"/>
      <c r="Q95" s="18"/>
      <c r="R95" s="18"/>
      <c r="S95" s="18"/>
      <c r="T95" s="18"/>
      <c r="U95" s="18"/>
      <c r="V95" s="18"/>
    </row>
    <row r="96" spans="1:22" x14ac:dyDescent="0.3">
      <c r="A96" s="18"/>
      <c r="B96" s="18"/>
      <c r="C96" s="18"/>
      <c r="D96" s="18"/>
      <c r="E96" s="18"/>
      <c r="F96" s="18"/>
      <c r="G96" s="18"/>
      <c r="H96" s="18"/>
      <c r="I96" s="18"/>
      <c r="J96" s="18"/>
      <c r="K96" s="18"/>
      <c r="L96" s="18"/>
      <c r="M96" s="18"/>
      <c r="N96" s="18"/>
      <c r="O96" s="18"/>
      <c r="P96" s="18"/>
      <c r="Q96" s="18"/>
      <c r="R96" s="18"/>
      <c r="S96" s="18"/>
      <c r="T96" s="18"/>
      <c r="U96" s="18"/>
      <c r="V96" s="18"/>
    </row>
    <row r="97" spans="1:22" x14ac:dyDescent="0.3">
      <c r="A97" s="18"/>
      <c r="B97" s="18"/>
      <c r="C97" s="18"/>
      <c r="D97" s="18"/>
      <c r="E97" s="18"/>
      <c r="F97" s="18"/>
      <c r="G97" s="18"/>
      <c r="H97" s="18"/>
      <c r="I97" s="18"/>
      <c r="J97" s="18"/>
      <c r="K97" s="18"/>
      <c r="L97" s="18"/>
      <c r="M97" s="18"/>
      <c r="N97" s="18"/>
      <c r="O97" s="18"/>
      <c r="P97" s="18"/>
      <c r="Q97" s="18"/>
      <c r="R97" s="18"/>
      <c r="S97" s="18"/>
      <c r="T97" s="18"/>
      <c r="U97" s="18"/>
      <c r="V97" s="18"/>
    </row>
    <row r="98" spans="1:22" x14ac:dyDescent="0.3">
      <c r="A98" s="18"/>
      <c r="B98" s="18"/>
      <c r="C98" s="18"/>
      <c r="D98" s="18"/>
      <c r="E98" s="18"/>
      <c r="F98" s="18"/>
      <c r="G98" s="18"/>
      <c r="H98" s="18"/>
      <c r="I98" s="18"/>
      <c r="J98" s="18"/>
      <c r="K98" s="18"/>
      <c r="L98" s="18"/>
      <c r="M98" s="18"/>
      <c r="N98" s="18"/>
      <c r="O98" s="18"/>
      <c r="P98" s="18"/>
      <c r="Q98" s="18"/>
      <c r="R98" s="18"/>
      <c r="S98" s="18"/>
      <c r="T98" s="18"/>
      <c r="U98" s="18"/>
      <c r="V98" s="18"/>
    </row>
    <row r="99" spans="1:22" x14ac:dyDescent="0.3">
      <c r="A99" s="18"/>
      <c r="B99" s="18"/>
      <c r="C99" s="18"/>
      <c r="D99" s="18"/>
      <c r="E99" s="18"/>
      <c r="F99" s="18"/>
      <c r="G99" s="18"/>
      <c r="H99" s="18"/>
      <c r="I99" s="18"/>
      <c r="J99" s="18"/>
      <c r="K99" s="18"/>
      <c r="L99" s="18"/>
      <c r="M99" s="18"/>
      <c r="N99" s="18"/>
      <c r="O99" s="18"/>
      <c r="P99" s="18"/>
      <c r="Q99" s="18"/>
      <c r="R99" s="18"/>
      <c r="S99" s="18"/>
      <c r="T99" s="18"/>
      <c r="U99" s="18"/>
      <c r="V99" s="18"/>
    </row>
    <row r="100" spans="1:22" x14ac:dyDescent="0.3">
      <c r="A100" s="18"/>
      <c r="B100" s="18"/>
      <c r="C100" s="18"/>
      <c r="D100" s="18"/>
      <c r="E100" s="18"/>
      <c r="F100" s="18"/>
      <c r="G100" s="18"/>
      <c r="H100" s="18"/>
      <c r="I100" s="18"/>
      <c r="J100" s="18"/>
      <c r="K100" s="18"/>
      <c r="L100" s="18"/>
      <c r="M100" s="18"/>
      <c r="N100" s="18"/>
      <c r="O100" s="18"/>
      <c r="P100" s="18"/>
      <c r="Q100" s="18"/>
      <c r="R100" s="18"/>
      <c r="S100" s="18"/>
      <c r="T100" s="18"/>
      <c r="U100" s="18"/>
      <c r="V100" s="18"/>
    </row>
    <row r="101" spans="1:22" x14ac:dyDescent="0.3">
      <c r="A101" s="18"/>
      <c r="B101" s="18"/>
      <c r="C101" s="18"/>
      <c r="D101" s="18"/>
      <c r="E101" s="18"/>
      <c r="F101" s="18"/>
      <c r="G101" s="18"/>
      <c r="H101" s="18"/>
      <c r="I101" s="18"/>
      <c r="J101" s="18"/>
      <c r="K101" s="18"/>
      <c r="L101" s="18"/>
      <c r="M101" s="18"/>
      <c r="N101" s="18"/>
      <c r="O101" s="18"/>
      <c r="P101" s="18"/>
      <c r="Q101" s="18"/>
      <c r="R101" s="18"/>
      <c r="S101" s="18"/>
      <c r="T101" s="18"/>
      <c r="U101" s="18"/>
      <c r="V101" s="18"/>
    </row>
    <row r="102" spans="1:22" x14ac:dyDescent="0.3">
      <c r="A102" s="18"/>
      <c r="B102" s="18"/>
      <c r="C102" s="18"/>
      <c r="D102" s="18"/>
      <c r="E102" s="18"/>
      <c r="F102" s="18"/>
      <c r="G102" s="18"/>
      <c r="H102" s="18"/>
      <c r="I102" s="18"/>
      <c r="J102" s="18"/>
      <c r="K102" s="18"/>
      <c r="L102" s="18"/>
      <c r="M102" s="18"/>
      <c r="N102" s="18"/>
      <c r="O102" s="18"/>
      <c r="P102" s="18"/>
      <c r="Q102" s="18"/>
      <c r="R102" s="18"/>
      <c r="S102" s="18"/>
      <c r="T102" s="18"/>
      <c r="U102" s="18"/>
      <c r="V102" s="18"/>
    </row>
    <row r="103" spans="1:22" x14ac:dyDescent="0.3">
      <c r="A103" s="18"/>
      <c r="B103" s="18"/>
      <c r="C103" s="18"/>
      <c r="D103" s="18"/>
      <c r="E103" s="18"/>
      <c r="F103" s="18"/>
      <c r="G103" s="18"/>
      <c r="H103" s="18"/>
      <c r="I103" s="18"/>
      <c r="J103" s="18"/>
      <c r="K103" s="18"/>
      <c r="L103" s="18"/>
      <c r="M103" s="18"/>
      <c r="N103" s="18"/>
      <c r="O103" s="18"/>
      <c r="P103" s="18"/>
      <c r="Q103" s="18"/>
      <c r="R103" s="18"/>
      <c r="S103" s="18"/>
      <c r="T103" s="18"/>
      <c r="U103" s="18"/>
      <c r="V103" s="18"/>
    </row>
    <row r="104" spans="1:22" x14ac:dyDescent="0.3">
      <c r="A104" s="18"/>
      <c r="B104" s="18"/>
      <c r="C104" s="18"/>
      <c r="D104" s="18"/>
      <c r="E104" s="18"/>
      <c r="F104" s="18"/>
      <c r="G104" s="18"/>
      <c r="H104" s="18"/>
      <c r="I104" s="18"/>
      <c r="J104" s="18"/>
      <c r="K104" s="18"/>
      <c r="L104" s="18"/>
      <c r="M104" s="18"/>
      <c r="N104" s="18"/>
      <c r="O104" s="18"/>
      <c r="P104" s="18"/>
      <c r="Q104" s="18"/>
      <c r="R104" s="18"/>
      <c r="S104" s="18"/>
      <c r="T104" s="18"/>
      <c r="U104" s="18"/>
      <c r="V104" s="18"/>
    </row>
    <row r="105" spans="1:22" x14ac:dyDescent="0.3">
      <c r="A105" s="18"/>
      <c r="B105" s="18"/>
      <c r="C105" s="18"/>
      <c r="D105" s="18"/>
      <c r="E105" s="18"/>
      <c r="F105" s="18"/>
      <c r="G105" s="18"/>
      <c r="H105" s="18"/>
      <c r="I105" s="18"/>
      <c r="J105" s="18"/>
      <c r="K105" s="18"/>
      <c r="L105" s="18"/>
      <c r="M105" s="18"/>
      <c r="N105" s="18"/>
      <c r="O105" s="18"/>
      <c r="P105" s="18"/>
      <c r="Q105" s="18"/>
      <c r="R105" s="18"/>
      <c r="S105" s="18"/>
      <c r="T105" s="18"/>
      <c r="U105" s="18"/>
      <c r="V105" s="18"/>
    </row>
    <row r="106" spans="1:22" x14ac:dyDescent="0.3">
      <c r="A106" s="18"/>
      <c r="B106" s="18"/>
      <c r="C106" s="18"/>
      <c r="D106" s="18"/>
      <c r="E106" s="18"/>
      <c r="F106" s="18"/>
      <c r="G106" s="18"/>
      <c r="H106" s="18"/>
      <c r="I106" s="18"/>
      <c r="J106" s="18"/>
      <c r="K106" s="18"/>
      <c r="L106" s="18"/>
      <c r="M106" s="18"/>
      <c r="N106" s="18"/>
      <c r="O106" s="18"/>
      <c r="P106" s="18"/>
      <c r="Q106" s="18"/>
      <c r="R106" s="18"/>
      <c r="S106" s="18"/>
      <c r="T106" s="18"/>
      <c r="U106" s="18"/>
      <c r="V106" s="18"/>
    </row>
    <row r="107" spans="1:22" x14ac:dyDescent="0.3">
      <c r="A107" s="18"/>
      <c r="B107" s="18"/>
      <c r="C107" s="18"/>
      <c r="D107" s="18"/>
      <c r="E107" s="18"/>
      <c r="F107" s="18"/>
      <c r="G107" s="18"/>
      <c r="H107" s="18"/>
      <c r="I107" s="18"/>
      <c r="J107" s="18"/>
      <c r="K107" s="18"/>
      <c r="L107" s="18"/>
      <c r="M107" s="18"/>
      <c r="N107" s="18"/>
      <c r="O107" s="18"/>
      <c r="P107" s="18"/>
      <c r="Q107" s="18"/>
      <c r="R107" s="18"/>
      <c r="S107" s="18"/>
      <c r="T107" s="18"/>
      <c r="U107" s="18"/>
      <c r="V107" s="18"/>
    </row>
    <row r="108" spans="1:22" x14ac:dyDescent="0.3">
      <c r="A108" s="18"/>
      <c r="B108" s="18"/>
      <c r="C108" s="18"/>
      <c r="D108" s="18"/>
      <c r="E108" s="18"/>
      <c r="F108" s="18"/>
      <c r="G108" s="18"/>
      <c r="H108" s="18"/>
      <c r="I108" s="18"/>
      <c r="J108" s="18"/>
      <c r="K108" s="18"/>
      <c r="L108" s="18"/>
      <c r="M108" s="18"/>
      <c r="N108" s="18"/>
      <c r="O108" s="18"/>
      <c r="P108" s="18"/>
      <c r="Q108" s="18"/>
      <c r="R108" s="18"/>
      <c r="S108" s="18"/>
      <c r="T108" s="18"/>
      <c r="U108" s="18"/>
      <c r="V108" s="18"/>
    </row>
    <row r="109" spans="1:22" x14ac:dyDescent="0.3">
      <c r="A109" s="18"/>
      <c r="B109" s="18"/>
      <c r="C109" s="18"/>
      <c r="D109" s="18"/>
      <c r="E109" s="18"/>
      <c r="F109" s="18"/>
      <c r="G109" s="18"/>
      <c r="H109" s="18"/>
      <c r="I109" s="18"/>
      <c r="J109" s="18"/>
      <c r="K109" s="18"/>
      <c r="L109" s="18"/>
      <c r="M109" s="18"/>
      <c r="N109" s="18"/>
      <c r="O109" s="18"/>
      <c r="P109" s="18"/>
      <c r="Q109" s="18"/>
      <c r="R109" s="18"/>
      <c r="S109" s="18"/>
      <c r="T109" s="18"/>
      <c r="U109" s="18"/>
      <c r="V109" s="18"/>
    </row>
    <row r="110" spans="1:22" x14ac:dyDescent="0.3">
      <c r="A110" s="18"/>
      <c r="B110" s="18"/>
      <c r="C110" s="18"/>
      <c r="D110" s="18"/>
      <c r="E110" s="18"/>
      <c r="F110" s="18"/>
      <c r="G110" s="18"/>
      <c r="H110" s="18"/>
      <c r="I110" s="18"/>
      <c r="J110" s="18"/>
      <c r="K110" s="18"/>
      <c r="L110" s="18"/>
      <c r="M110" s="18"/>
      <c r="N110" s="18"/>
      <c r="O110" s="18"/>
      <c r="P110" s="18"/>
      <c r="Q110" s="18"/>
      <c r="R110" s="18"/>
      <c r="S110" s="18"/>
      <c r="T110" s="18"/>
      <c r="U110" s="18"/>
      <c r="V110" s="18"/>
    </row>
    <row r="111" spans="1:22" x14ac:dyDescent="0.3">
      <c r="A111" s="18"/>
      <c r="B111" s="18"/>
      <c r="C111" s="18"/>
      <c r="D111" s="18"/>
      <c r="E111" s="18"/>
      <c r="F111" s="18"/>
      <c r="G111" s="18"/>
      <c r="H111" s="18"/>
      <c r="I111" s="18"/>
      <c r="J111" s="18"/>
      <c r="K111" s="18"/>
      <c r="L111" s="18"/>
      <c r="M111" s="18"/>
      <c r="N111" s="18"/>
      <c r="O111" s="18"/>
      <c r="P111" s="18"/>
      <c r="Q111" s="18"/>
      <c r="R111" s="18"/>
      <c r="S111" s="18"/>
      <c r="T111" s="18"/>
      <c r="U111" s="18"/>
      <c r="V111" s="18"/>
    </row>
    <row r="112" spans="1:22" x14ac:dyDescent="0.3">
      <c r="A112" s="18"/>
      <c r="B112" s="18"/>
      <c r="C112" s="18"/>
      <c r="D112" s="18"/>
      <c r="E112" s="18"/>
      <c r="F112" s="18"/>
      <c r="G112" s="18"/>
      <c r="H112" s="18"/>
      <c r="I112" s="18"/>
      <c r="J112" s="18"/>
      <c r="K112" s="18"/>
      <c r="L112" s="18"/>
      <c r="M112" s="18"/>
      <c r="N112" s="18"/>
      <c r="O112" s="18"/>
      <c r="P112" s="18"/>
      <c r="Q112" s="18"/>
      <c r="R112" s="18"/>
      <c r="S112" s="18"/>
      <c r="T112" s="18"/>
      <c r="U112" s="18"/>
      <c r="V112" s="18"/>
    </row>
    <row r="113" spans="22:22" x14ac:dyDescent="0.3">
      <c r="V113"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8B3BAA-8D81-409B-AB37-1C05126989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Analysis sheet</vt:lpstr>
      <vt:lpstr>Table2 </vt:lpstr>
      <vt:lpstr>Orders</vt:lpstr>
      <vt:lpstr>Analysis</vt:lpstr>
      <vt:lpstr>Detail1</vt:lpstr>
      <vt:lpstr>new dashboard</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 A</cp:lastModifiedBy>
  <dcterms:created xsi:type="dcterms:W3CDTF">2026-08-19T11:41:18Z</dcterms:created>
  <dcterms:modified xsi:type="dcterms:W3CDTF">2026-09-19T06:38:22Z</dcterms:modified>
</cp:coreProperties>
</file>